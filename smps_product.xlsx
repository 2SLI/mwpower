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PS 재고" sheetId="1" r:id="rId4"/>
    <sheet state="visible" name="재고 백업" sheetId="2" r:id="rId5"/>
    <sheet state="hidden" name="SMPS 재고 현황" sheetId="3" r:id="rId6"/>
  </sheets>
  <definedNames/>
  <calcPr/>
</workbook>
</file>

<file path=xl/sharedStrings.xml><?xml version="1.0" encoding="utf-8"?>
<sst xmlns="http://schemas.openxmlformats.org/spreadsheetml/2006/main" count="1589" uniqueCount="788">
  <si>
    <t>.</t>
  </si>
  <si>
    <t>SMPS 재고</t>
  </si>
  <si>
    <t>오전 9:00:00 최신화</t>
  </si>
  <si>
    <t>모델명</t>
  </si>
  <si>
    <t>수량</t>
  </si>
  <si>
    <t>APV 시리즈</t>
  </si>
  <si>
    <t>APV-12-12</t>
  </si>
  <si>
    <t>APV-12-24</t>
  </si>
  <si>
    <t>CSP 시리즈</t>
  </si>
  <si>
    <t>CSP-3000-120</t>
  </si>
  <si>
    <t>CSP-3000-400</t>
  </si>
  <si>
    <t>DBU시리즈</t>
  </si>
  <si>
    <t>DBU-3200-48</t>
  </si>
  <si>
    <t>DDR 시리즈</t>
  </si>
  <si>
    <t>DDR-15G-3.3</t>
  </si>
  <si>
    <t>DDR-15G-5</t>
  </si>
  <si>
    <t>DDR-15G-12</t>
  </si>
  <si>
    <t>ㅛㅕㅕㅑㅕㅛㅑㅛㅕㅑ</t>
  </si>
  <si>
    <t>DDR-15G-15</t>
  </si>
  <si>
    <t>DDR-15G-24</t>
  </si>
  <si>
    <t>ㅛㅕㅑㅛㅕㅑㅛㅕㅑ</t>
  </si>
  <si>
    <t>DDR-15L-5</t>
  </si>
  <si>
    <t>DDR-15L-12</t>
  </si>
  <si>
    <t>DDR-15L-24</t>
  </si>
  <si>
    <t>DDR-30G-5</t>
  </si>
  <si>
    <t>DDR-30G-12</t>
  </si>
  <si>
    <t>DDR-30G-24</t>
  </si>
  <si>
    <t>DDR-30L-5</t>
  </si>
  <si>
    <t>DDR-30L-12</t>
  </si>
  <si>
    <t>DDR-30L-24</t>
  </si>
  <si>
    <t>DDR-60G-5</t>
  </si>
  <si>
    <t>DDR-60G-12</t>
  </si>
  <si>
    <t>DDR-60G-24</t>
  </si>
  <si>
    <t>DDR-60L-5</t>
  </si>
  <si>
    <t>DDR-60L-12</t>
  </si>
  <si>
    <t>DDR-60L-15</t>
  </si>
  <si>
    <t>DDR-60L-24</t>
  </si>
  <si>
    <t>DDR-120A-12</t>
  </si>
  <si>
    <t>DDR-120A-48</t>
  </si>
  <si>
    <t>DDR-120B-12</t>
  </si>
  <si>
    <t>DDR-120B-24</t>
  </si>
  <si>
    <t>DDR-120C-12</t>
  </si>
  <si>
    <t>DDR-120C-24</t>
  </si>
  <si>
    <t>DDR-120C-48</t>
  </si>
  <si>
    <t>DDR-120D-24</t>
  </si>
  <si>
    <t>DDR-240B-24</t>
  </si>
  <si>
    <t>DDR-240C-24</t>
  </si>
  <si>
    <t>DDR-480B-24</t>
  </si>
  <si>
    <t>DDR-480C-12</t>
  </si>
  <si>
    <t>DDR-480C-24</t>
  </si>
  <si>
    <t>DPU 시리즈</t>
  </si>
  <si>
    <t>DPU-3200-24</t>
  </si>
  <si>
    <t>DPU-3200-48</t>
  </si>
  <si>
    <t>DUBW 시리즈</t>
  </si>
  <si>
    <t>DPBW06F-15</t>
  </si>
  <si>
    <t>DUPN 시리즈</t>
  </si>
  <si>
    <t>DPUN02L-15</t>
  </si>
  <si>
    <t>DRA시리즈</t>
  </si>
  <si>
    <t>DRA-40-12</t>
  </si>
  <si>
    <t>DRA-40-24</t>
  </si>
  <si>
    <t>DRA-60-12</t>
  </si>
  <si>
    <t>DRA-60-24</t>
  </si>
  <si>
    <t>DRDN시리즈</t>
  </si>
  <si>
    <t>DRDN20-24</t>
  </si>
  <si>
    <t>DRDN40-12</t>
  </si>
  <si>
    <t>DRDN40-24</t>
  </si>
  <si>
    <t>DUPS 시리즈</t>
  </si>
  <si>
    <t>DUPS20</t>
  </si>
  <si>
    <t>DUPS40</t>
  </si>
  <si>
    <t>EDR 시리즈</t>
  </si>
  <si>
    <t>EDR-75-12</t>
  </si>
  <si>
    <t>EDR-75-24</t>
  </si>
  <si>
    <t>EDR-75-48</t>
  </si>
  <si>
    <t>EDR-120-24</t>
  </si>
  <si>
    <t>EDR-150-24</t>
  </si>
  <si>
    <t>ELG 시리즈</t>
  </si>
  <si>
    <t>ELG-75-12A</t>
  </si>
  <si>
    <t>ELG-75-24A-3Y</t>
  </si>
  <si>
    <t>ELG-100-24A-3Y</t>
  </si>
  <si>
    <t>ELG-100-36A-3Y</t>
  </si>
  <si>
    <t>ELG-150-12A</t>
  </si>
  <si>
    <t>ELG-150-12A-3Y</t>
  </si>
  <si>
    <t>ELG-150-24A-3Y</t>
  </si>
  <si>
    <t>ELG-150-36A-3Y</t>
  </si>
  <si>
    <t>ELG-150-48A-3Y</t>
  </si>
  <si>
    <t>ELG-200-12A</t>
  </si>
  <si>
    <t>ELG-240-24A-3Y</t>
  </si>
  <si>
    <t>ELG-300-12A</t>
  </si>
  <si>
    <t>ELG-300-24A</t>
  </si>
  <si>
    <t>ELG-300-24A-3Y</t>
  </si>
  <si>
    <t>EPP 시리즈</t>
  </si>
  <si>
    <t>EPP-300-12</t>
  </si>
  <si>
    <t>EPP-300-24</t>
  </si>
  <si>
    <t>EPS 시리즈</t>
  </si>
  <si>
    <t>EPS-15-5</t>
  </si>
  <si>
    <t>EPS-15-12</t>
  </si>
  <si>
    <t>EPS-35-12</t>
  </si>
  <si>
    <t>EPS-35-15</t>
  </si>
  <si>
    <t>EPS-35-24</t>
  </si>
  <si>
    <t>EPS-35-36</t>
  </si>
  <si>
    <t>EPS-45-12</t>
  </si>
  <si>
    <t>EPS-45-24</t>
  </si>
  <si>
    <t>EPS-45-48</t>
  </si>
  <si>
    <t>EPS-45S-12</t>
  </si>
  <si>
    <t>EPS-65-12</t>
  </si>
  <si>
    <t>EPS-65-24</t>
  </si>
  <si>
    <t>EPS-65-24-C</t>
  </si>
  <si>
    <t>EPS-65-48</t>
  </si>
  <si>
    <t>EPS-65S-5</t>
  </si>
  <si>
    <t>EPS-65S-12</t>
  </si>
  <si>
    <t>EPS-65S-15</t>
  </si>
  <si>
    <t>EPS-120-12</t>
  </si>
  <si>
    <t>EPS-120-24</t>
  </si>
  <si>
    <t>EPS-120-27</t>
  </si>
  <si>
    <t>ERDN 시리즈</t>
  </si>
  <si>
    <t>ERDN20-24</t>
  </si>
  <si>
    <t>ERDN40-24</t>
  </si>
  <si>
    <t>ERP 시리즈</t>
  </si>
  <si>
    <t>ERP-350-12</t>
  </si>
  <si>
    <t>GST 시리즈</t>
  </si>
  <si>
    <t>GST280A24-C6P</t>
  </si>
  <si>
    <t>GST360A36-C6P</t>
  </si>
  <si>
    <t>GST360A48-C6P</t>
  </si>
  <si>
    <t>GST60A12-P1J</t>
  </si>
  <si>
    <t>GST60A24-P1J</t>
  </si>
  <si>
    <t>HDR 시리즈</t>
  </si>
  <si>
    <t>HDR-15-5</t>
  </si>
  <si>
    <t>HDR-15-12</t>
  </si>
  <si>
    <t>HDR-15-15</t>
  </si>
  <si>
    <t>HDR-15-24</t>
  </si>
  <si>
    <t>HDR-30-5</t>
  </si>
  <si>
    <t>HDR-30-12</t>
  </si>
  <si>
    <t>HDR-30-15</t>
  </si>
  <si>
    <t>HDR-30-24</t>
  </si>
  <si>
    <t>HDR-30-48</t>
  </si>
  <si>
    <t>HDR-60-5</t>
  </si>
  <si>
    <t>HDR-60-12</t>
  </si>
  <si>
    <t>HDR-60-15</t>
  </si>
  <si>
    <t>HDR-60-24</t>
  </si>
  <si>
    <t>HDR-60-48</t>
  </si>
  <si>
    <t>HDR-100-12</t>
  </si>
  <si>
    <t>HDR-100-15</t>
  </si>
  <si>
    <t>HDR-100-24</t>
  </si>
  <si>
    <t>HDR-100-48</t>
  </si>
  <si>
    <t>HDR-150-12</t>
  </si>
  <si>
    <t>HDR-150-15</t>
  </si>
  <si>
    <t>HDR-150-24</t>
  </si>
  <si>
    <t>HDR-150-48</t>
  </si>
  <si>
    <t>HBG 시리즈</t>
  </si>
  <si>
    <t>HBG-100P-48A</t>
  </si>
  <si>
    <t>HEP 시리즈</t>
  </si>
  <si>
    <t>HEP-1000-24</t>
  </si>
  <si>
    <t>HLG 시리즈</t>
  </si>
  <si>
    <t>HLG-40H-12</t>
  </si>
  <si>
    <t>HLG-40H-24</t>
  </si>
  <si>
    <t>HLG-60H-36A</t>
  </si>
  <si>
    <t>HLG-80H-12</t>
  </si>
  <si>
    <t>HLG-100H-24A</t>
  </si>
  <si>
    <t>HLG-120H-12A</t>
  </si>
  <si>
    <t>HLG-120H-15A</t>
  </si>
  <si>
    <t>HLG-120H-48B</t>
  </si>
  <si>
    <t>HLG-150H-24A</t>
  </si>
  <si>
    <t>HLG-150H-30</t>
  </si>
  <si>
    <t>HLG-150H-30A</t>
  </si>
  <si>
    <t>HLG-150H-36A</t>
  </si>
  <si>
    <t>HLG-150H-48B</t>
  </si>
  <si>
    <t>HLG-185H-24</t>
  </si>
  <si>
    <t>HLG-185H-24A</t>
  </si>
  <si>
    <t>HLG-185H-36</t>
  </si>
  <si>
    <t>HLG-185H-36A</t>
  </si>
  <si>
    <t>HLG-185H-48B</t>
  </si>
  <si>
    <t>HLG-240H-24A</t>
  </si>
  <si>
    <t>HLG-240H-36A</t>
  </si>
  <si>
    <t>HLG-320H-30A</t>
  </si>
  <si>
    <t>HLG-480H-24A</t>
  </si>
  <si>
    <t>HLG-600H-12A</t>
  </si>
  <si>
    <t>HLG-600H-24A</t>
  </si>
  <si>
    <t>HLG-600H-48A</t>
  </si>
  <si>
    <t>HLG-600H-54AB</t>
  </si>
  <si>
    <t>HLG-600H-54B</t>
  </si>
  <si>
    <t>HRP 시리즈</t>
  </si>
  <si>
    <t>HRP-75-5</t>
  </si>
  <si>
    <t>HRP-75-12</t>
  </si>
  <si>
    <t>HRP-75-24</t>
  </si>
  <si>
    <t>HRP-100-15</t>
  </si>
  <si>
    <t>HRP-100-24</t>
  </si>
  <si>
    <t>HRP-150-3.3</t>
  </si>
  <si>
    <t>HRP-150-7.5</t>
  </si>
  <si>
    <t>HRP-150-12</t>
  </si>
  <si>
    <t>HRP-150-15</t>
  </si>
  <si>
    <t>HRP-150-24</t>
  </si>
  <si>
    <t>HRP-300-12</t>
  </si>
  <si>
    <t>HRP-200-12</t>
  </si>
  <si>
    <t>HRP-200-24</t>
  </si>
  <si>
    <t>HRP-300-15</t>
  </si>
  <si>
    <t>HRP-300-24</t>
  </si>
  <si>
    <t>HRP-450-24</t>
  </si>
  <si>
    <t>HRP-600-12</t>
  </si>
  <si>
    <t>HRP-600-15</t>
  </si>
  <si>
    <t>HRP-600-24</t>
  </si>
  <si>
    <t>HRP-600-48</t>
  </si>
  <si>
    <t>HRPG 시리즈</t>
  </si>
  <si>
    <t>HRPG-150-5</t>
  </si>
  <si>
    <t>HRPG-1000-12</t>
  </si>
  <si>
    <t>HRPG-1000-24</t>
  </si>
  <si>
    <t>HRPG-1000-48</t>
  </si>
  <si>
    <t>HVGC 시리즈</t>
  </si>
  <si>
    <t>HVG-100-20A</t>
  </si>
  <si>
    <t>HVGC-650-U-AB</t>
  </si>
  <si>
    <t>IRM 시리즈</t>
  </si>
  <si>
    <t>IRM-01-12</t>
  </si>
  <si>
    <t>IRM-02-5</t>
  </si>
  <si>
    <t>IRM-03-5</t>
  </si>
  <si>
    <t>IRM-03-12</t>
  </si>
  <si>
    <t>IRM-03-15</t>
  </si>
  <si>
    <t>IRM-05-5</t>
  </si>
  <si>
    <t>IRM-05-12</t>
  </si>
  <si>
    <t>IRM-05-24</t>
  </si>
  <si>
    <t>IRM-10-5</t>
  </si>
  <si>
    <t>IRM-10-12</t>
  </si>
  <si>
    <t>IRM-10-15</t>
  </si>
  <si>
    <t>IRM-10-24</t>
  </si>
  <si>
    <t>IRM-15-5</t>
  </si>
  <si>
    <t>IRM-15-12</t>
  </si>
  <si>
    <t>IRM-15-24</t>
  </si>
  <si>
    <t>IRM-20-5</t>
  </si>
  <si>
    <t>IRM-20-12</t>
  </si>
  <si>
    <t>IRM-20-15</t>
  </si>
  <si>
    <t>IRM-20-24</t>
  </si>
  <si>
    <t>IRM-30-5</t>
  </si>
  <si>
    <t>IRM-30-12</t>
  </si>
  <si>
    <t>IRM-30-15</t>
  </si>
  <si>
    <t>IRM-30-24</t>
  </si>
  <si>
    <t>IRM-30-48</t>
  </si>
  <si>
    <t>IRM-45-12</t>
  </si>
  <si>
    <t>IRM-45-12ST</t>
  </si>
  <si>
    <t>IRM-45-15</t>
  </si>
  <si>
    <t>IRM-45-24</t>
  </si>
  <si>
    <t>IRM-45-48</t>
  </si>
  <si>
    <t>IRM-60-12</t>
  </si>
  <si>
    <t>IRM-60-15</t>
  </si>
  <si>
    <t>IRM-60-24</t>
  </si>
  <si>
    <t>IRM-60-48</t>
  </si>
  <si>
    <t>IRM-90-12</t>
  </si>
  <si>
    <t>IRM-90-24</t>
  </si>
  <si>
    <t>LOP시리즈</t>
  </si>
  <si>
    <t>LOP-200-12</t>
  </si>
  <si>
    <t>LOP-200-15</t>
  </si>
  <si>
    <t>LOP-200-24</t>
  </si>
  <si>
    <t>LOP-200-48</t>
  </si>
  <si>
    <t>LOP-300-12</t>
  </si>
  <si>
    <t>LOP-300-24</t>
  </si>
  <si>
    <t>LOP-300-36</t>
  </si>
  <si>
    <t>LOP-300-48</t>
  </si>
  <si>
    <t>LOP-400-12</t>
  </si>
  <si>
    <t>LOP-400-24</t>
  </si>
  <si>
    <t>LOP-500-12</t>
  </si>
  <si>
    <t>LOP-500-24</t>
  </si>
  <si>
    <t>LOP-600-12</t>
  </si>
  <si>
    <t>LOP-600-24</t>
  </si>
  <si>
    <t>LOP-600-48</t>
  </si>
  <si>
    <t>LPC시리즈</t>
  </si>
  <si>
    <t>LPC-20-700</t>
  </si>
  <si>
    <t>LPH시리즈</t>
  </si>
  <si>
    <t>LPH-18-24</t>
  </si>
  <si>
    <t>LRS시리즈</t>
  </si>
  <si>
    <t>LRS-35-5</t>
  </si>
  <si>
    <t>LRS-35-12</t>
  </si>
  <si>
    <t>LRS-35-15</t>
  </si>
  <si>
    <t>LRS-35-24</t>
  </si>
  <si>
    <t>LRS-35-36</t>
  </si>
  <si>
    <t>LRS-35-48</t>
  </si>
  <si>
    <t>LRS-50-3.3</t>
  </si>
  <si>
    <t>LRS-50-5</t>
  </si>
  <si>
    <t>LRS-50-12</t>
  </si>
  <si>
    <t>LRS-50-15</t>
  </si>
  <si>
    <t>LRS-50-24</t>
  </si>
  <si>
    <t>LRS-50-36</t>
  </si>
  <si>
    <t>LRS-50-48</t>
  </si>
  <si>
    <t>LRS-75-5</t>
  </si>
  <si>
    <t>LRS-75-12</t>
  </si>
  <si>
    <t>LRS-75-15</t>
  </si>
  <si>
    <t>LRS-75-36</t>
  </si>
  <si>
    <t>LRS-75-48</t>
  </si>
  <si>
    <t>LRS-75-24</t>
  </si>
  <si>
    <t>LRS-100-3.3</t>
  </si>
  <si>
    <t>LRS-100-5</t>
  </si>
  <si>
    <t>LRS-100-12</t>
  </si>
  <si>
    <t>LRS-100-15</t>
  </si>
  <si>
    <t>LRS-100-24</t>
  </si>
  <si>
    <t>LRS-100-36</t>
  </si>
  <si>
    <t>LRS-100-48</t>
  </si>
  <si>
    <t>LRS-150F-5</t>
  </si>
  <si>
    <t>LRS-150F-12</t>
  </si>
  <si>
    <t>LRS-150F-15</t>
  </si>
  <si>
    <t>LRS-150F-24</t>
  </si>
  <si>
    <t>LRS-150F-36</t>
  </si>
  <si>
    <t>LRS-150-12</t>
  </si>
  <si>
    <t>LRS-150-15</t>
  </si>
  <si>
    <t>LRS-150-24</t>
  </si>
  <si>
    <t>LRS-150-36</t>
  </si>
  <si>
    <t>LRS-150-48</t>
  </si>
  <si>
    <t>LRS-200-3.3</t>
  </si>
  <si>
    <t>LRS-200-5</t>
  </si>
  <si>
    <t>LRS-200-12</t>
  </si>
  <si>
    <t>LRS-200-15</t>
  </si>
  <si>
    <t>LRS-200-24</t>
  </si>
  <si>
    <t>LRS-200-36</t>
  </si>
  <si>
    <t>LRS-200-48</t>
  </si>
  <si>
    <t>LRS-350-5</t>
  </si>
  <si>
    <t>LRS-350-12</t>
  </si>
  <si>
    <t>LRS-450-5</t>
  </si>
  <si>
    <t>LRS-350-15</t>
  </si>
  <si>
    <t>LRS-350-24</t>
  </si>
  <si>
    <t>LRS-350-36</t>
  </si>
  <si>
    <t>LRS-350-48</t>
  </si>
  <si>
    <t>LRS-450-12</t>
  </si>
  <si>
    <t>LRS-450-15</t>
  </si>
  <si>
    <t>LRS-450-24</t>
  </si>
  <si>
    <t>LRS-450-36</t>
  </si>
  <si>
    <t>LRS-450-48</t>
  </si>
  <si>
    <t>LRS-600-5</t>
  </si>
  <si>
    <t>LRS-600-12</t>
  </si>
  <si>
    <t>LRS-600-15</t>
  </si>
  <si>
    <t>LRS-600-27</t>
  </si>
  <si>
    <t>LRS-600-24</t>
  </si>
  <si>
    <t>LRS-600-36</t>
  </si>
  <si>
    <t>LRS-600-48</t>
  </si>
  <si>
    <t>LRS-1200-12</t>
  </si>
  <si>
    <t>LRS-1200-24</t>
  </si>
  <si>
    <t>LRS-1200-36</t>
  </si>
  <si>
    <t>LRS-1200-48</t>
  </si>
  <si>
    <t>MDR 시리즈</t>
  </si>
  <si>
    <t>MDR-10-5</t>
  </si>
  <si>
    <t>MDR-10-12</t>
  </si>
  <si>
    <t>MDR-10-15</t>
  </si>
  <si>
    <t>MDR-10-24</t>
  </si>
  <si>
    <t>MDR-20-5</t>
  </si>
  <si>
    <t>MDR-20-12</t>
  </si>
  <si>
    <t>MDR-20-15</t>
  </si>
  <si>
    <t>MDR-20-24</t>
  </si>
  <si>
    <t>MDR-40-5</t>
  </si>
  <si>
    <t>MDR-40-12</t>
  </si>
  <si>
    <t>MDR-40-24</t>
  </si>
  <si>
    <t>MDR-40-48</t>
  </si>
  <si>
    <t>MDR-60-5</t>
  </si>
  <si>
    <t>MDR-60-12</t>
  </si>
  <si>
    <t>MDR-60-24</t>
  </si>
  <si>
    <t>MDR-60-48</t>
  </si>
  <si>
    <t>MDR-100-12</t>
  </si>
  <si>
    <t>MDR-100-24</t>
  </si>
  <si>
    <t>MDR-100-48</t>
  </si>
  <si>
    <t>MFM 시리즈</t>
  </si>
  <si>
    <t>MFM-05-5</t>
  </si>
  <si>
    <t>MFM-05-12</t>
  </si>
  <si>
    <t>MFM-15-15</t>
  </si>
  <si>
    <t>MFM-20-12</t>
  </si>
  <si>
    <t>MFM-30-5</t>
  </si>
  <si>
    <t>MSP 시리즈</t>
  </si>
  <si>
    <t>MSP-100-12</t>
  </si>
  <si>
    <t>MSP-100-15</t>
  </si>
  <si>
    <t>MSP-100-24</t>
  </si>
  <si>
    <t>MSP-200-24</t>
  </si>
  <si>
    <t>MSP-200-48</t>
  </si>
  <si>
    <t>MSP-300-12</t>
  </si>
  <si>
    <t>MSP-300-24</t>
  </si>
  <si>
    <t>MSP-300-36</t>
  </si>
  <si>
    <t>MSP-450-24</t>
  </si>
  <si>
    <t>MSP-450-48</t>
  </si>
  <si>
    <t>MSP-600-36</t>
  </si>
  <si>
    <t>MSP-1000-48</t>
  </si>
  <si>
    <t>NDR 시리즈</t>
  </si>
  <si>
    <t>NDR-120-12</t>
  </si>
  <si>
    <t>NDR-120-24</t>
  </si>
  <si>
    <t>NDR-120-48</t>
  </si>
  <si>
    <t>NDR-240-24</t>
  </si>
  <si>
    <t>NDR-240-48</t>
  </si>
  <si>
    <t>NDR-480-24</t>
  </si>
  <si>
    <t>NDR-480-48</t>
  </si>
  <si>
    <t>NDR-75-12</t>
  </si>
  <si>
    <t>NDR-75-24</t>
  </si>
  <si>
    <t>NDR-75-48</t>
  </si>
  <si>
    <t>NLDD 시리즈</t>
  </si>
  <si>
    <t>NLDD-1400H</t>
  </si>
  <si>
    <t>NPB 시리즈</t>
  </si>
  <si>
    <t>NPB-240-24TB</t>
  </si>
  <si>
    <t>NPB-450-72</t>
  </si>
  <si>
    <t>NPB-1700-48</t>
  </si>
  <si>
    <t>NPP시리즈</t>
  </si>
  <si>
    <t>NPP-750-48</t>
  </si>
  <si>
    <t>NSP시리즈</t>
  </si>
  <si>
    <t>NSP-100-12</t>
  </si>
  <si>
    <t>NSP-100-24</t>
  </si>
  <si>
    <t>NSP-150-12</t>
  </si>
  <si>
    <t>NSP-150-24</t>
  </si>
  <si>
    <t>NSP-1600-12</t>
  </si>
  <si>
    <t>NSP-1600-24</t>
  </si>
  <si>
    <t>NSP-200-12</t>
  </si>
  <si>
    <t>NSP-200-24</t>
  </si>
  <si>
    <t>NPB-240-24-TB</t>
  </si>
  <si>
    <t>NSP-3200-24</t>
  </si>
  <si>
    <t>NSP-3200-48</t>
  </si>
  <si>
    <t>NSP-320-12</t>
  </si>
  <si>
    <t>NSP-320-24</t>
  </si>
  <si>
    <t>NSP-500-12</t>
  </si>
  <si>
    <t>NSP-500-24</t>
  </si>
  <si>
    <t>NSP-500-48</t>
  </si>
  <si>
    <t>NSP-750-12</t>
  </si>
  <si>
    <t>NSP-750-24</t>
  </si>
  <si>
    <t>NSP-75-12</t>
  </si>
  <si>
    <t>NSP-75-24</t>
  </si>
  <si>
    <t>NTS 시리즈</t>
  </si>
  <si>
    <t>NTS-400P-224</t>
  </si>
  <si>
    <t>PD 시리즈</t>
  </si>
  <si>
    <t>PD-25A</t>
  </si>
  <si>
    <t>PD-2505</t>
  </si>
  <si>
    <t>PD-65A</t>
  </si>
  <si>
    <t>PSP 시리즈</t>
  </si>
  <si>
    <t>PSP-600-24</t>
  </si>
  <si>
    <t>PT 시리즈</t>
  </si>
  <si>
    <t>PT-45C</t>
  </si>
  <si>
    <t>RCP 시리즈</t>
  </si>
  <si>
    <t>RCP-2000-48</t>
  </si>
  <si>
    <t>RD 시리즈</t>
  </si>
  <si>
    <t>RD-125-2448</t>
  </si>
  <si>
    <t>RD-35A</t>
  </si>
  <si>
    <t>RD-35B</t>
  </si>
  <si>
    <t>RD-50A</t>
  </si>
  <si>
    <t>RD-50B</t>
  </si>
  <si>
    <t>RD-65A</t>
  </si>
  <si>
    <t>RD-65B</t>
  </si>
  <si>
    <t>RD-85A</t>
  </si>
  <si>
    <t>RD-85B</t>
  </si>
  <si>
    <t>RD-125A</t>
  </si>
  <si>
    <t>RD-125B</t>
  </si>
  <si>
    <t>RID 시리즈</t>
  </si>
  <si>
    <t>RID-50B</t>
  </si>
  <si>
    <t>RID-125-2405</t>
  </si>
  <si>
    <t>RKP 시리즈</t>
  </si>
  <si>
    <t>RKP-1UT</t>
  </si>
  <si>
    <t>RPD 시리즈</t>
  </si>
  <si>
    <t>RPD-60A</t>
  </si>
  <si>
    <t>RPD-75A</t>
  </si>
  <si>
    <t>RPS 시리즈</t>
  </si>
  <si>
    <t>RPS-45-5</t>
  </si>
  <si>
    <t>RPS-60-5</t>
  </si>
  <si>
    <t>RPS-60-12</t>
  </si>
  <si>
    <t>RPS-60-24</t>
  </si>
  <si>
    <t>RPS-65-5</t>
  </si>
  <si>
    <t>RPS-65-12</t>
  </si>
  <si>
    <t>RPS-65-24</t>
  </si>
  <si>
    <t>RPS-75-5</t>
  </si>
  <si>
    <t>RPS-75-12</t>
  </si>
  <si>
    <t>RPS-75-15</t>
  </si>
  <si>
    <t>RPS-75-24</t>
  </si>
  <si>
    <t>RPS-75-48</t>
  </si>
  <si>
    <t>RPS-120-12</t>
  </si>
  <si>
    <t>RPS-120-12-C</t>
  </si>
  <si>
    <t>RPS-120-15</t>
  </si>
  <si>
    <t>RPS-120-24</t>
  </si>
  <si>
    <t>RPS-120S-24</t>
  </si>
  <si>
    <t>RPS-160-12</t>
  </si>
  <si>
    <t>RPS-200-12</t>
  </si>
  <si>
    <t>RPS-200-24-C</t>
  </si>
  <si>
    <t>RPS-200-24</t>
  </si>
  <si>
    <t>RPS-200-27</t>
  </si>
  <si>
    <t>RPS-200-48</t>
  </si>
  <si>
    <t>RPS-300-12</t>
  </si>
  <si>
    <t>RPS-300-24</t>
  </si>
  <si>
    <t>RPS-300-48</t>
  </si>
  <si>
    <t>RPS-400-12</t>
  </si>
  <si>
    <t>RPS-400-12-C</t>
  </si>
  <si>
    <t>RPS-400-15</t>
  </si>
  <si>
    <t>RPS-400-15-C</t>
  </si>
  <si>
    <t>RPS-400-4F</t>
  </si>
  <si>
    <t>RPS-400-24-TF</t>
  </si>
  <si>
    <t>RPS-500-48</t>
  </si>
  <si>
    <t>RPT 시리즈</t>
  </si>
  <si>
    <t>RPT-60B</t>
  </si>
  <si>
    <t>RPT-16D</t>
  </si>
  <si>
    <t>RQ 시리즈</t>
  </si>
  <si>
    <t>RQ-50C</t>
  </si>
  <si>
    <t>RQ-125B</t>
  </si>
  <si>
    <t>RS 시리즈</t>
  </si>
  <si>
    <t>RS-15-3.3</t>
  </si>
  <si>
    <t>RS-15-5</t>
  </si>
  <si>
    <t>RS-15-12</t>
  </si>
  <si>
    <t>RS-15-15</t>
  </si>
  <si>
    <t>RS-15-24</t>
  </si>
  <si>
    <t>RS-25-5</t>
  </si>
  <si>
    <t>RS-25-12</t>
  </si>
  <si>
    <t>RS-25-15</t>
  </si>
  <si>
    <t>RS-25-24</t>
  </si>
  <si>
    <t>RS-25-48</t>
  </si>
  <si>
    <t>RS-35-12</t>
  </si>
  <si>
    <t>RS-35-24</t>
  </si>
  <si>
    <t>RS-50-5</t>
  </si>
  <si>
    <t>RS-50-3.3</t>
  </si>
  <si>
    <t>RS-50-12</t>
  </si>
  <si>
    <t>RS-50-15</t>
  </si>
  <si>
    <t>RS-50-24</t>
  </si>
  <si>
    <t>RS-75-5</t>
  </si>
  <si>
    <t>RS-75-12</t>
  </si>
  <si>
    <t>RS-75-24</t>
  </si>
  <si>
    <t>RS-100-12</t>
  </si>
  <si>
    <t>RS-100-24</t>
  </si>
  <si>
    <t>RS-100-48</t>
  </si>
  <si>
    <t>RS-100-15</t>
  </si>
  <si>
    <t>RS-150-5</t>
  </si>
  <si>
    <t>RS-150-12</t>
  </si>
  <si>
    <t>RS-150-24</t>
  </si>
  <si>
    <t>RS-150-48</t>
  </si>
  <si>
    <t>RSD 시리즈</t>
  </si>
  <si>
    <t>RSD-100D-24</t>
  </si>
  <si>
    <t>RSD-150B-24</t>
  </si>
  <si>
    <t>RSD-150C-24</t>
  </si>
  <si>
    <t>RSD-200B-12</t>
  </si>
  <si>
    <t>RSD-200B-24</t>
  </si>
  <si>
    <t>RSD-200C-12</t>
  </si>
  <si>
    <t>RSD-200C-24</t>
  </si>
  <si>
    <t>RSD-30G-12</t>
  </si>
  <si>
    <t>RSD-60G-12</t>
  </si>
  <si>
    <t>RSD-60H-12</t>
  </si>
  <si>
    <t>RSDW20H-05</t>
  </si>
  <si>
    <t>RSDW40H-12</t>
  </si>
  <si>
    <t>RSP 시리즈</t>
  </si>
  <si>
    <t>RSP-75-5</t>
  </si>
  <si>
    <t>RSP-75-12</t>
  </si>
  <si>
    <t>RSP-75-24</t>
  </si>
  <si>
    <t>RSP-100-5</t>
  </si>
  <si>
    <t>RSP-100-12</t>
  </si>
  <si>
    <t>RSP-100-15</t>
  </si>
  <si>
    <t>RSP-100-24</t>
  </si>
  <si>
    <t>RSP-150-12</t>
  </si>
  <si>
    <t>RSP-150-15</t>
  </si>
  <si>
    <t>RSP-150-24</t>
  </si>
  <si>
    <t>RSP-200-12</t>
  </si>
  <si>
    <t>RSP-200-24</t>
  </si>
  <si>
    <t>RSP-200-48</t>
  </si>
  <si>
    <t>RSP-320-5</t>
  </si>
  <si>
    <t>RSP-320-7.5</t>
  </si>
  <si>
    <t>RSP-320-12</t>
  </si>
  <si>
    <t>RSP-320-13.5</t>
  </si>
  <si>
    <t>RSP-320-15</t>
  </si>
  <si>
    <t>RSP-320-24</t>
  </si>
  <si>
    <t>RSP-320-27</t>
  </si>
  <si>
    <t>RSP-320-48</t>
  </si>
  <si>
    <t>RSP-500-12</t>
  </si>
  <si>
    <t>RSP-500-15</t>
  </si>
  <si>
    <t>RSP-500-24</t>
  </si>
  <si>
    <t>RSP-500-27</t>
  </si>
  <si>
    <t>RSP-500-48</t>
  </si>
  <si>
    <t>RSP-750-12</t>
  </si>
  <si>
    <t>RSP-750-15</t>
  </si>
  <si>
    <t>RSP-750-24</t>
  </si>
  <si>
    <t>RSP-750-27</t>
  </si>
  <si>
    <t>RSP-750-48</t>
  </si>
  <si>
    <t>RSP-1000-12</t>
  </si>
  <si>
    <t>RSP-1000-15</t>
  </si>
  <si>
    <t>RSP-1000-24</t>
  </si>
  <si>
    <t>RSP-1000-27</t>
  </si>
  <si>
    <t>RSP-1000-48</t>
  </si>
  <si>
    <t>RSP-1600-24</t>
  </si>
  <si>
    <t>RSP-1600-36</t>
  </si>
  <si>
    <t>RSP-1600-48</t>
  </si>
  <si>
    <t>RSP-1500-12</t>
  </si>
  <si>
    <t>RSP-1500-24</t>
  </si>
  <si>
    <t>RSP-1500-27</t>
  </si>
  <si>
    <t>RSP-1500-48</t>
  </si>
  <si>
    <t>RSP-2000-12</t>
  </si>
  <si>
    <t>RSP-2000-24</t>
  </si>
  <si>
    <t>RSP-2000-48</t>
  </si>
  <si>
    <t>RSP-2400-12</t>
  </si>
  <si>
    <t>RSP-2400-24</t>
  </si>
  <si>
    <t>RSP-2400-48</t>
  </si>
  <si>
    <t>RSP-3000-12</t>
  </si>
  <si>
    <t>RSP-3000-24</t>
  </si>
  <si>
    <t>RSP-3000-48</t>
  </si>
  <si>
    <t>RST 시리즈</t>
  </si>
  <si>
    <t>RST-5000-24</t>
  </si>
  <si>
    <t>RT 시리즈</t>
  </si>
  <si>
    <t>RT-50A</t>
  </si>
  <si>
    <t>RT-50B</t>
  </si>
  <si>
    <t>RT-50C</t>
  </si>
  <si>
    <t>RT-65B</t>
  </si>
  <si>
    <t>RT-65C</t>
  </si>
  <si>
    <t>RT-65D</t>
  </si>
  <si>
    <t>RT-85B</t>
  </si>
  <si>
    <t>RT-85C</t>
  </si>
  <si>
    <t>RT-125A</t>
  </si>
  <si>
    <t>RT-125B</t>
  </si>
  <si>
    <t>RT-125C</t>
  </si>
  <si>
    <t>SBTN 시리즈</t>
  </si>
  <si>
    <t>SBTN01L-05N</t>
  </si>
  <si>
    <t>SBTN01M-12N</t>
  </si>
  <si>
    <t>SCWN 시리즈</t>
  </si>
  <si>
    <t>SCWN03B-05</t>
  </si>
  <si>
    <t>SKM 시리즈</t>
  </si>
  <si>
    <t>SKM10B-05</t>
  </si>
  <si>
    <t>SKMW40F-12</t>
  </si>
  <si>
    <t>SD 시리즈</t>
  </si>
  <si>
    <t>SD-15A-05</t>
  </si>
  <si>
    <t>SD-150B-12</t>
  </si>
  <si>
    <t>SD-25B-12</t>
  </si>
  <si>
    <t>SD-25B-24</t>
  </si>
  <si>
    <t>SD-50B-12</t>
  </si>
  <si>
    <t>SD-50B-24</t>
  </si>
  <si>
    <t>SD-150C-24</t>
  </si>
  <si>
    <t>SD-150D-24</t>
  </si>
  <si>
    <t>SD-200C-12</t>
  </si>
  <si>
    <t>SD-200C-24</t>
  </si>
  <si>
    <t>SD-350B-24</t>
  </si>
  <si>
    <t>SD-350B-48</t>
  </si>
  <si>
    <t>SD-350C-24</t>
  </si>
  <si>
    <t>SD-350C-48</t>
  </si>
  <si>
    <t>SD-500L-24</t>
  </si>
  <si>
    <t>SD-500L-48</t>
  </si>
  <si>
    <t>SD-1000L-24</t>
  </si>
  <si>
    <t>SD-1000L-48</t>
  </si>
  <si>
    <t>SDR 시리즈</t>
  </si>
  <si>
    <t>SDR-75-12</t>
  </si>
  <si>
    <t>SDR-75-24</t>
  </si>
  <si>
    <t>SDR-120-12</t>
  </si>
  <si>
    <t>SDR-120-24</t>
  </si>
  <si>
    <t>SDR-120-48</t>
  </si>
  <si>
    <t>SDR-240-24</t>
  </si>
  <si>
    <t>SDR-240-48</t>
  </si>
  <si>
    <t>SDR-480-24</t>
  </si>
  <si>
    <t>SDR-480-48</t>
  </si>
  <si>
    <t>SDR-960-24</t>
  </si>
  <si>
    <t>SDR-960-48</t>
  </si>
  <si>
    <t>SE 시리즈</t>
  </si>
  <si>
    <t>SE-1000-12</t>
  </si>
  <si>
    <t>SE-1000-24</t>
  </si>
  <si>
    <t>SE-1000-48</t>
  </si>
  <si>
    <t>SE-1500-5</t>
  </si>
  <si>
    <t>SE-1500-12</t>
  </si>
  <si>
    <t>SE-1500-24</t>
  </si>
  <si>
    <t>SE-1500-48</t>
  </si>
  <si>
    <t>SLD 시리즈</t>
  </si>
  <si>
    <t>SHP-10K-320</t>
  </si>
  <si>
    <t>SHP-10K-380</t>
  </si>
  <si>
    <t>SLD-150-24</t>
  </si>
  <si>
    <t>SMUN 시리즈</t>
  </si>
  <si>
    <t>SMU02N-05N</t>
  </si>
  <si>
    <t>SPAN 시리즈</t>
  </si>
  <si>
    <t>SPAN02A-15</t>
  </si>
  <si>
    <t>SPBW 시리즈</t>
  </si>
  <si>
    <t>SPBW06F-05</t>
  </si>
  <si>
    <t>SPRN 시리즈</t>
  </si>
  <si>
    <t>SPRN01N-05</t>
  </si>
  <si>
    <t>SPUN 시리즈</t>
  </si>
  <si>
    <t>SPU01L-05</t>
  </si>
  <si>
    <t>SPUN02L-05</t>
  </si>
  <si>
    <t>SPUN02L-15</t>
  </si>
  <si>
    <t>SPUN02N-05</t>
  </si>
  <si>
    <t>SPV 시리즈</t>
  </si>
  <si>
    <t>SPV-300-12</t>
  </si>
  <si>
    <t>SPWM 시리즈</t>
  </si>
  <si>
    <t>SPWM-240-24</t>
  </si>
  <si>
    <t>TDR 시리즈</t>
  </si>
  <si>
    <t>TDR-240-24</t>
  </si>
  <si>
    <t>TDR-240-48</t>
  </si>
  <si>
    <t>TDR-480-24</t>
  </si>
  <si>
    <t>TDR-480-48</t>
  </si>
  <si>
    <t>TDR-960-24</t>
  </si>
  <si>
    <t>TDR-960-48</t>
  </si>
  <si>
    <t>UHP 시리즈</t>
  </si>
  <si>
    <t>UHP-200-12</t>
  </si>
  <si>
    <t>UHP-200-24</t>
  </si>
  <si>
    <t>UHP-350-36</t>
  </si>
  <si>
    <t>UHP-1500-48</t>
  </si>
  <si>
    <t>UHP-350-24</t>
  </si>
  <si>
    <t>UHP-500-48</t>
  </si>
  <si>
    <t>UHP-600-12</t>
  </si>
  <si>
    <t>WDR 시리즈</t>
  </si>
  <si>
    <t>WDR-60-5</t>
  </si>
  <si>
    <t>WDR-60-12</t>
  </si>
  <si>
    <t>WDR-60-24</t>
  </si>
  <si>
    <t>WDR-60-48</t>
  </si>
  <si>
    <t>WDR-120-12</t>
  </si>
  <si>
    <t>WDR-120-24</t>
  </si>
  <si>
    <t>WDR-120-48</t>
  </si>
  <si>
    <t>WDR-240-24</t>
  </si>
  <si>
    <t>WDR-240-48</t>
  </si>
  <si>
    <t>WDR-480-24</t>
  </si>
  <si>
    <t>WDR-480-48</t>
  </si>
  <si>
    <t>XDR 시리즈</t>
  </si>
  <si>
    <t>XDR-75-12</t>
  </si>
  <si>
    <t>XDR-75-24</t>
  </si>
  <si>
    <t>XDR-75-36</t>
  </si>
  <si>
    <t>XDR-75-48</t>
  </si>
  <si>
    <t>XDR-75E-12</t>
  </si>
  <si>
    <t>XDR-75E-24</t>
  </si>
  <si>
    <t>XDR-75E-36</t>
  </si>
  <si>
    <t>XDR-75E-48</t>
  </si>
  <si>
    <t>XDR-120-12</t>
  </si>
  <si>
    <t>XDR-120-24</t>
  </si>
  <si>
    <t>XDR-120-36</t>
  </si>
  <si>
    <t>XDR-120-48</t>
  </si>
  <si>
    <t>XDR-120E-12</t>
  </si>
  <si>
    <t>XDR-120E-24</t>
  </si>
  <si>
    <t>XDR-120E-36</t>
  </si>
  <si>
    <t>XDR-120E-48</t>
  </si>
  <si>
    <t>XDR-150E-12</t>
  </si>
  <si>
    <t>XDR-150E-24</t>
  </si>
  <si>
    <t>XDR-150E-36</t>
  </si>
  <si>
    <t>XDR-150E-48</t>
  </si>
  <si>
    <t>XDR-240-12</t>
  </si>
  <si>
    <t>XDR-240-24</t>
  </si>
  <si>
    <t>XDR-240-36</t>
  </si>
  <si>
    <t>XDR-240-48</t>
  </si>
  <si>
    <t>XDR-240E-12</t>
  </si>
  <si>
    <t>XDR-240E-24</t>
  </si>
  <si>
    <t>XDR-240E-36</t>
  </si>
  <si>
    <t>XDR-240E-48</t>
  </si>
  <si>
    <t>XDR-480-12</t>
  </si>
  <si>
    <t>XDR-480-24</t>
  </si>
  <si>
    <t>XDR-480-36</t>
  </si>
  <si>
    <t>XDR-480-48</t>
  </si>
  <si>
    <t>XDR-480E-12</t>
  </si>
  <si>
    <t>XDR-480E-24</t>
  </si>
  <si>
    <t>XDR-480E-36</t>
  </si>
  <si>
    <t>XDR-480E-48</t>
  </si>
  <si>
    <t>XDR-960-12</t>
  </si>
  <si>
    <t>XDR-960-24</t>
  </si>
  <si>
    <t>XDR-960-36</t>
  </si>
  <si>
    <t>XDR-960-48</t>
  </si>
  <si>
    <t>XDR-960E-24</t>
  </si>
  <si>
    <t>XDR-960E-36</t>
  </si>
  <si>
    <t>XDR-960E-48</t>
  </si>
  <si>
    <t>XLG 시리즈</t>
  </si>
  <si>
    <t>XLG-25-A</t>
  </si>
  <si>
    <t>XLG-25-AB</t>
  </si>
  <si>
    <t>XLG-50-A</t>
  </si>
  <si>
    <t>XLG-50-AB</t>
  </si>
  <si>
    <t>XLG-75-24-A</t>
  </si>
  <si>
    <t>XLG-75-H-A</t>
  </si>
  <si>
    <t>XLG-75-L-A</t>
  </si>
  <si>
    <t>XLG-100-H-A</t>
  </si>
  <si>
    <t>XLG-150-H-A</t>
  </si>
  <si>
    <t>XLG-100-L-AB</t>
  </si>
  <si>
    <t>XLG-100-12-A</t>
  </si>
  <si>
    <t>XLG-100-24-A</t>
  </si>
  <si>
    <t>XLG-150-24-A</t>
  </si>
  <si>
    <t>XLG-150-H-AB</t>
  </si>
  <si>
    <t>XLG-150-L-AB</t>
  </si>
  <si>
    <t>XLG-200-H-AB</t>
  </si>
  <si>
    <t>XLG-200-12-A</t>
  </si>
  <si>
    <t>XLG-200-24-A</t>
  </si>
  <si>
    <t>XLG-240-H-AB</t>
  </si>
  <si>
    <t>XLG-240-M-AB</t>
  </si>
  <si>
    <t>XLG-320-M-AB</t>
  </si>
  <si>
    <t>XLG-320-V-A</t>
  </si>
  <si>
    <t>XTR 시리즈</t>
  </si>
  <si>
    <t>XTR-240-12</t>
  </si>
  <si>
    <t>XTR-240-24</t>
  </si>
  <si>
    <t>XTR-240-36</t>
  </si>
  <si>
    <t>XTR-240-48</t>
  </si>
  <si>
    <t>XTR-480-12</t>
  </si>
  <si>
    <t>XTR-480-24</t>
  </si>
  <si>
    <t>XTR-480-36</t>
  </si>
  <si>
    <t>XTR-480-48</t>
  </si>
  <si>
    <t>XTR-960-24</t>
  </si>
  <si>
    <t>XTR-960-36</t>
  </si>
  <si>
    <t>XTR-960-48</t>
  </si>
  <si>
    <t>기타 자재</t>
  </si>
  <si>
    <t>일자형 브라켓</t>
  </si>
  <si>
    <t>기역자형 브라켓</t>
  </si>
  <si>
    <t>TBC-05 (단자커버)</t>
  </si>
  <si>
    <t>TBC-07 (단자커버)</t>
  </si>
  <si>
    <t>TBC-09 (단자커버)</t>
  </si>
  <si>
    <t>일별 재고 파일</t>
  </si>
  <si>
    <t>재고현황</t>
  </si>
  <si>
    <t>-</t>
  </si>
  <si>
    <t>RST-7K5-230</t>
  </si>
  <si>
    <t>ELG-200-24A-3Y</t>
  </si>
  <si>
    <t>XLG-200-H-A</t>
  </si>
  <si>
    <t>RPT-160D</t>
  </si>
  <si>
    <t>SHP-10K-230</t>
  </si>
  <si>
    <t>RPS-400-24</t>
  </si>
  <si>
    <t>26.01.01</t>
  </si>
  <si>
    <t>매일</t>
  </si>
  <si>
    <t>모델 선택</t>
  </si>
  <si>
    <t>DRA</t>
  </si>
  <si>
    <t>모델</t>
  </si>
  <si>
    <t>상태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</si>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</sst>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36">
    <font>
      <sz val="12.0"/>
      <color rgb="FF000000"/>
      <name val="Calibri"/>
    </font>
    <font>
      <sz val="11.0"/>
      <name val="Poppins"/>
    </font>
    <font>
      <b/>
      <sz val="30.0"/>
      <color rgb="FF0B5394"/>
      <name val="Poppins"/>
    </font>
    <font>
      <b/>
      <sz val="11.0"/>
      <color rgb="FF000000"/>
      <name val="Poppins"/>
    </font>
    <font>
      <b/>
      <sz val="11.0"/>
      <color rgb="FF0B5394"/>
      <name val="Poppins"/>
    </font>
    <font>
      <b/>
      <sz val="21.0"/>
      <color rgb="FF0B5394"/>
      <name val="Roboto"/>
    </font>
    <font>
      <b/>
      <sz val="22.0"/>
      <color rgb="FF0B5394"/>
      <name val="Roboto"/>
    </font>
    <font>
      <b/>
      <sz val="30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name val="Roboto"/>
    </font>
    <font>
      <sz val="11.0"/>
      <color rgb="FF000000"/>
      <name val="Roboto"/>
    </font>
    <font>
      <b/>
      <sz val="10.0"/>
      <color rgb="FF000000"/>
      <name val="Malgun Gothic"/>
    </font>
    <font>
      <b/>
      <sz val="8.0"/>
      <color rgb="FF000000"/>
      <name val="Roboto"/>
    </font>
    <font>
      <sz val="9.0"/>
      <name val="Roboto"/>
    </font>
    <font>
      <sz val="10.0"/>
      <color rgb="FFFFFFFF"/>
      <name val="Roboto"/>
    </font>
    <font>
      <sz val="10.0"/>
      <color rgb="FF000000"/>
      <name val="Malgun Gothic"/>
    </font>
    <font>
      <b/>
      <sz val="14.0"/>
      <color rgb="FF222222"/>
      <name val="-apple-system"/>
    </font>
    <font>
      <sz val="10.0"/>
      <color rgb="FF434343"/>
      <name val="Roboto"/>
    </font>
    <font>
      <sz val="10.0"/>
      <name val="Malgun Gothic"/>
    </font>
    <font>
      <sz val="10.0"/>
      <color rgb="FF666666"/>
      <name val="Roboto"/>
    </font>
    <font>
      <sz val="10.0"/>
      <color rgb="FF000000"/>
      <name val="Arial"/>
    </font>
    <font>
      <sz val="10.0"/>
      <color rgb="FFFFFFFF"/>
      <name val="Malgun Gothic"/>
    </font>
    <font/>
    <font>
      <color rgb="FF000000"/>
    </font>
    <font>
      <color rgb="FF000000"/>
      <name val="Arial"/>
    </font>
    <font>
      <sz val="11.0"/>
      <color rgb="FF434343"/>
      <name val="Roboto"/>
    </font>
    <font>
      <sz val="16.0"/>
      <name val="Arial"/>
    </font>
    <font>
      <sz val="12.0"/>
      <color rgb="FF000000"/>
      <name val="Malgun Gothic"/>
    </font>
    <font>
      <b/>
      <sz val="12.0"/>
      <color rgb="FF000000"/>
      <name val="Malgun Gothic"/>
    </font>
    <font>
      <name val="&quot;맑은 고딕&quot;"/>
    </font>
    <font>
      <color rgb="FF000000"/>
      <name val="&quot;맑은 고딕&quot;"/>
    </font>
    <font>
      <color rgb="FFFF0000"/>
      <name val="&quot;맑은 고딕&quot;"/>
    </font>
    <font>
      <color rgb="FF111111"/>
      <name val="&quot;맑은 고딕&quot;"/>
    </font>
    <font>
      <b/>
      <sz val="30.0"/>
      <color rgb="FF000000"/>
      <name val="Roboto"/>
    </font>
    <font>
      <sz val="11.0"/>
      <color rgb="FF000000"/>
      <name val="Poppins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1">
    <border/>
    <border>
      <bottom style="thick">
        <color rgb="FF0B539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2" fontId="5" numFmtId="0" xfId="0" applyAlignment="1" applyFont="1">
      <alignment horizontal="center" readingOrder="0" shrinkToFit="0" vertical="center" wrapText="0"/>
    </xf>
    <xf borderId="1" fillId="2" fontId="6" numFmtId="14" xfId="0" applyAlignment="1" applyBorder="1" applyFont="1" applyNumberFormat="1">
      <alignment horizontal="center" readingOrder="0" shrinkToFit="0" vertical="center" wrapText="0"/>
    </xf>
    <xf borderId="0" fillId="2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2" fontId="9" numFmtId="0" xfId="0" applyAlignment="1" applyFont="1">
      <alignment horizontal="center"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0" fillId="0" fontId="10" numFmtId="0" xfId="0" applyAlignment="1" applyFont="1">
      <alignment vertical="center"/>
    </xf>
    <xf borderId="0" fillId="2" fontId="11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2" fillId="3" fontId="12" numFmtId="0" xfId="0" applyAlignment="1" applyBorder="1" applyFill="1" applyFont="1">
      <alignment horizontal="center" readingOrder="0" shrinkToFit="0" vertical="center" wrapText="1"/>
    </xf>
    <xf borderId="2" fillId="4" fontId="12" numFmtId="0" xfId="0" applyAlignment="1" applyBorder="1" applyFill="1" applyFont="1">
      <alignment horizontal="center" readingOrder="0" shrinkToFit="0" vertical="center" wrapText="1"/>
    </xf>
    <xf borderId="0" fillId="2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vertical="center"/>
    </xf>
    <xf borderId="3" fillId="5" fontId="12" numFmtId="0" xfId="0" applyAlignment="1" applyBorder="1" applyFill="1" applyFont="1">
      <alignment horizontal="center" readingOrder="0" shrinkToFit="0" vertical="center" wrapText="0"/>
    </xf>
    <xf borderId="0" fillId="2" fontId="15" numFmtId="0" xfId="0" applyAlignment="1" applyFont="1">
      <alignment horizontal="center" readingOrder="0" shrinkToFit="0" vertical="center" wrapText="0"/>
    </xf>
    <xf borderId="4" fillId="2" fontId="16" numFmtId="0" xfId="0" applyAlignment="1" applyBorder="1" applyFont="1">
      <alignment horizontal="center" readingOrder="0" shrinkToFit="0" vertical="center" wrapText="1"/>
    </xf>
    <xf borderId="4" fillId="2" fontId="16" numFmtId="164" xfId="0" applyAlignment="1" applyBorder="1" applyFont="1" applyNumberFormat="1">
      <alignment horizontal="center" readingOrder="0" shrinkToFit="0" vertical="center" wrapText="1"/>
    </xf>
    <xf borderId="0" fillId="2" fontId="14" numFmtId="0" xfId="0" applyAlignment="1" applyFont="1">
      <alignment vertical="center"/>
    </xf>
    <xf borderId="0" fillId="2" fontId="12" numFmtId="0" xfId="0" applyAlignment="1" applyFont="1">
      <alignment horizontal="center" readingOrder="0" shrinkToFit="0" vertical="center" wrapText="0"/>
    </xf>
    <xf borderId="4" fillId="6" fontId="12" numFmtId="0" xfId="0" applyAlignment="1" applyBorder="1" applyFill="1" applyFont="1">
      <alignment horizontal="center" readingOrder="0" shrinkToFit="0" vertical="center" wrapText="0"/>
    </xf>
    <xf borderId="4" fillId="0" fontId="16" numFmtId="0" xfId="0" applyAlignment="1" applyBorder="1" applyFont="1">
      <alignment horizontal="center" readingOrder="0" vertical="center"/>
    </xf>
    <xf borderId="0" fillId="2" fontId="17" numFmtId="0" xfId="0" applyAlignment="1" applyFont="1">
      <alignment readingOrder="0"/>
    </xf>
    <xf borderId="4" fillId="7" fontId="12" numFmtId="0" xfId="0" applyAlignment="1" applyBorder="1" applyFill="1" applyFont="1">
      <alignment horizontal="center" readingOrder="0" shrinkToFit="0" vertical="center" wrapText="0"/>
    </xf>
    <xf borderId="0" fillId="2" fontId="16" numFmtId="0" xfId="0" applyAlignment="1" applyFont="1">
      <alignment horizontal="center" readingOrder="0" shrinkToFit="0" vertical="center" wrapText="0"/>
    </xf>
    <xf borderId="0" fillId="2" fontId="16" numFmtId="0" xfId="0" applyAlignment="1" applyFont="1">
      <alignment horizontal="center" readingOrder="0" shrinkToFit="0" vertical="center" wrapText="1"/>
    </xf>
    <xf borderId="4" fillId="8" fontId="12" numFmtId="0" xfId="0" applyAlignment="1" applyBorder="1" applyFill="1" applyFont="1">
      <alignment horizontal="center" readingOrder="0" shrinkToFit="0" vertical="center" wrapText="0"/>
    </xf>
    <xf borderId="4" fillId="2" fontId="16" numFmtId="0" xfId="0" applyAlignment="1" applyBorder="1" applyFont="1">
      <alignment horizontal="center" readingOrder="0" shrinkToFit="0" vertical="center" wrapText="0"/>
    </xf>
    <xf borderId="4" fillId="9" fontId="12" numFmtId="0" xfId="0" applyAlignment="1" applyBorder="1" applyFill="1" applyFont="1">
      <alignment horizontal="center" readingOrder="0" shrinkToFit="0" vertical="center" wrapText="0"/>
    </xf>
    <xf borderId="4" fillId="10" fontId="12" numFmtId="0" xfId="0" applyAlignment="1" applyBorder="1" applyFill="1" applyFont="1">
      <alignment horizontal="center" readingOrder="0" shrinkToFit="0" vertical="center" wrapText="0"/>
    </xf>
    <xf borderId="4" fillId="11" fontId="12" numFmtId="0" xfId="0" applyAlignment="1" applyBorder="1" applyFill="1" applyFont="1">
      <alignment horizontal="center" readingOrder="0" shrinkToFit="0" vertical="center" wrapText="0"/>
    </xf>
    <xf borderId="0" fillId="2" fontId="10" numFmtId="0" xfId="0" applyAlignment="1" applyFont="1">
      <alignment vertical="center"/>
    </xf>
    <xf borderId="0" fillId="2" fontId="18" numFmtId="0" xfId="0" applyAlignment="1" applyFont="1">
      <alignment horizontal="left" readingOrder="0" shrinkToFit="0" vertical="center" wrapText="1"/>
    </xf>
    <xf borderId="5" fillId="8" fontId="12" numFmtId="0" xfId="0" applyAlignment="1" applyBorder="1" applyFont="1">
      <alignment horizontal="center" readingOrder="0" shrinkToFit="0" vertical="center" wrapText="0"/>
    </xf>
    <xf borderId="4" fillId="12" fontId="12" numFmtId="0" xfId="0" applyAlignment="1" applyBorder="1" applyFill="1" applyFont="1">
      <alignment horizontal="center" readingOrder="0" shrinkToFit="0" vertical="center" wrapText="0"/>
    </xf>
    <xf borderId="0" fillId="2" fontId="18" numFmtId="0" xfId="0" applyAlignment="1" applyFont="1">
      <alignment readingOrder="0" shrinkToFit="0" vertical="center" wrapText="1"/>
    </xf>
    <xf borderId="4" fillId="13" fontId="12" numFmtId="0" xfId="0" applyAlignment="1" applyBorder="1" applyFill="1" applyFont="1">
      <alignment horizontal="center" readingOrder="0" shrinkToFit="0" vertical="center" wrapText="0"/>
    </xf>
    <xf borderId="4" fillId="5" fontId="12" numFmtId="0" xfId="0" applyAlignment="1" applyBorder="1" applyFont="1">
      <alignment horizontal="center" readingOrder="0" shrinkToFit="0" vertical="center" wrapText="0"/>
    </xf>
    <xf borderId="4" fillId="14" fontId="12" numFmtId="0" xfId="0" applyAlignment="1" applyBorder="1" applyFill="1" applyFont="1">
      <alignment horizontal="center" readingOrder="0" shrinkToFit="0" vertical="center" wrapText="0"/>
    </xf>
    <xf borderId="0" fillId="0" fontId="19" numFmtId="0" xfId="0" applyAlignment="1" applyFont="1">
      <alignment horizontal="center" vertical="center"/>
    </xf>
    <xf borderId="0" fillId="2" fontId="20" numFmtId="0" xfId="0" applyAlignment="1" applyFont="1">
      <alignment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0"/>
    </xf>
    <xf borderId="4" fillId="15" fontId="12" numFmtId="0" xfId="0" applyAlignment="1" applyBorder="1" applyFill="1" applyFont="1">
      <alignment horizontal="center" readingOrder="0" shrinkToFit="0" vertical="center" wrapText="0"/>
    </xf>
    <xf borderId="4" fillId="0" fontId="19" numFmtId="0" xfId="0" applyAlignment="1" applyBorder="1" applyFont="1">
      <alignment horizontal="center" readingOrder="0" vertical="center"/>
    </xf>
    <xf borderId="4" fillId="16" fontId="12" numFmtId="0" xfId="0" applyAlignment="1" applyBorder="1" applyFill="1" applyFont="1">
      <alignment horizontal="center" readingOrder="0" shrinkToFit="0" vertical="center" wrapText="0"/>
    </xf>
    <xf borderId="4" fillId="16" fontId="19" numFmtId="0" xfId="0" applyAlignment="1" applyBorder="1" applyFont="1">
      <alignment horizontal="center" vertical="center"/>
    </xf>
    <xf borderId="4" fillId="8" fontId="19" numFmtId="0" xfId="0" applyAlignment="1" applyBorder="1" applyFont="1">
      <alignment horizontal="center" vertical="center"/>
    </xf>
    <xf borderId="4" fillId="17" fontId="12" numFmtId="0" xfId="0" applyAlignment="1" applyBorder="1" applyFill="1" applyFont="1">
      <alignment horizontal="center" readingOrder="0" shrinkToFit="0" vertical="center" wrapText="0"/>
    </xf>
    <xf borderId="4" fillId="17" fontId="19" numFmtId="0" xfId="0" applyAlignment="1" applyBorder="1" applyFont="1">
      <alignment horizontal="center" vertical="center"/>
    </xf>
    <xf borderId="4" fillId="18" fontId="12" numFmtId="0" xfId="0" applyAlignment="1" applyBorder="1" applyFill="1" applyFont="1">
      <alignment horizontal="center" readingOrder="0" shrinkToFit="0" vertical="center" wrapText="0"/>
    </xf>
    <xf borderId="4" fillId="18" fontId="19" numFmtId="0" xfId="0" applyAlignment="1" applyBorder="1" applyFont="1">
      <alignment horizontal="center" vertical="center"/>
    </xf>
    <xf borderId="4" fillId="11" fontId="19" numFmtId="0" xfId="0" applyAlignment="1" applyBorder="1" applyFont="1">
      <alignment horizontal="center" vertical="center"/>
    </xf>
    <xf borderId="4" fillId="13" fontId="19" numFmtId="0" xfId="0" applyAlignment="1" applyBorder="1" applyFont="1">
      <alignment horizontal="center" vertical="center"/>
    </xf>
    <xf borderId="4" fillId="19" fontId="12" numFmtId="0" xfId="0" applyAlignment="1" applyBorder="1" applyFill="1" applyFont="1">
      <alignment horizontal="center" readingOrder="0" shrinkToFit="0" vertical="center" wrapText="0"/>
    </xf>
    <xf borderId="6" fillId="2" fontId="16" numFmtId="0" xfId="0" applyAlignment="1" applyBorder="1" applyFont="1">
      <alignment horizontal="center" readingOrder="0" shrinkToFit="0" vertical="center" wrapText="0"/>
    </xf>
    <xf borderId="4" fillId="0" fontId="21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2" fontId="22" numFmtId="0" xfId="0" applyAlignment="1" applyFont="1">
      <alignment horizontal="center" readingOrder="0" shrinkToFit="0" vertical="center" wrapText="0"/>
    </xf>
    <xf borderId="0" fillId="2" fontId="22" numFmtId="0" xfId="0" applyAlignment="1" applyFont="1">
      <alignment horizontal="center" readingOrder="0" shrinkToFit="0" vertical="center" wrapText="1"/>
    </xf>
    <xf borderId="3" fillId="2" fontId="16" numFmtId="0" xfId="0" applyAlignment="1" applyBorder="1" applyFont="1">
      <alignment horizontal="center" readingOrder="0" shrinkToFit="0" vertical="center" wrapText="1"/>
    </xf>
    <xf borderId="4" fillId="20" fontId="12" numFmtId="0" xfId="0" applyAlignment="1" applyBorder="1" applyFill="1" applyFont="1">
      <alignment horizontal="center" readingOrder="0" shrinkToFit="0" vertical="center" wrapText="0"/>
    </xf>
    <xf borderId="0" fillId="0" fontId="10" numFmtId="0" xfId="0" applyAlignment="1" applyFont="1">
      <alignment horizontal="center" vertical="center"/>
    </xf>
    <xf borderId="4" fillId="21" fontId="12" numFmtId="0" xfId="0" applyAlignment="1" applyBorder="1" applyFill="1" applyFont="1">
      <alignment horizontal="center" readingOrder="0" shrinkToFit="0" vertical="center" wrapText="0"/>
    </xf>
    <xf borderId="0" fillId="2" fontId="10" numFmtId="0" xfId="0" applyAlignment="1" applyFont="1">
      <alignment horizontal="center" vertical="center"/>
    </xf>
    <xf borderId="5" fillId="19" fontId="12" numFmtId="0" xfId="0" applyAlignment="1" applyBorder="1" applyFont="1">
      <alignment horizontal="center" readingOrder="0" shrinkToFit="0" vertical="center" wrapText="0"/>
    </xf>
    <xf borderId="7" fillId="0" fontId="16" numFmtId="0" xfId="0" applyAlignment="1" applyBorder="1" applyFont="1">
      <alignment horizontal="center" readingOrder="0" shrinkToFit="0" vertical="center" wrapText="0"/>
    </xf>
    <xf borderId="7" fillId="2" fontId="16" numFmtId="164" xfId="0" applyAlignment="1" applyBorder="1" applyFont="1" applyNumberFormat="1">
      <alignment horizontal="center" readingOrder="0" shrinkToFit="0" vertical="center" wrapText="1"/>
    </xf>
    <xf borderId="4" fillId="22" fontId="12" numFmtId="0" xfId="0" applyAlignment="1" applyBorder="1" applyFill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0" fillId="2" fontId="24" numFmtId="0" xfId="0" applyAlignment="1" applyFont="1">
      <alignment horizontal="center" vertical="center"/>
    </xf>
    <xf borderId="0" fillId="2" fontId="25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0" fontId="26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2" fillId="0" fontId="28" numFmtId="0" xfId="0" applyAlignment="1" applyBorder="1" applyFont="1">
      <alignment horizontal="center" readingOrder="0" shrinkToFit="0" wrapText="0"/>
    </xf>
    <xf borderId="2" fillId="0" fontId="29" numFmtId="0" xfId="0" applyAlignment="1" applyBorder="1" applyFont="1">
      <alignment horizontal="center" readingOrder="0" shrinkToFit="0" wrapText="0"/>
    </xf>
    <xf borderId="2" fillId="0" fontId="30" numFmtId="0" xfId="0" applyAlignment="1" applyBorder="1" applyFont="1">
      <alignment horizontal="left" readingOrder="0" shrinkToFit="0" wrapText="0"/>
    </xf>
    <xf borderId="2" fillId="0" fontId="31" numFmtId="164" xfId="0" applyAlignment="1" applyBorder="1" applyFont="1" applyNumberFormat="1">
      <alignment horizontal="right" readingOrder="0" shrinkToFit="0" wrapText="0"/>
    </xf>
    <xf borderId="2" fillId="23" fontId="30" numFmtId="0" xfId="0" applyAlignment="1" applyBorder="1" applyFill="1" applyFont="1">
      <alignment horizontal="left" readingOrder="0" shrinkToFit="0" wrapText="0"/>
    </xf>
    <xf borderId="2" fillId="24" fontId="30" numFmtId="0" xfId="0" applyAlignment="1" applyBorder="1" applyFill="1" applyFont="1">
      <alignment horizontal="left" readingOrder="0" shrinkToFit="0" wrapText="0"/>
    </xf>
    <xf borderId="2" fillId="11" fontId="32" numFmtId="0" xfId="0" applyAlignment="1" applyBorder="1" applyFont="1">
      <alignment horizontal="left" readingOrder="0" shrinkToFit="0" wrapText="0"/>
    </xf>
    <xf borderId="2" fillId="0" fontId="30" numFmtId="0" xfId="0" applyAlignment="1" applyBorder="1" applyFont="1">
      <alignment horizontal="left" readingOrder="0"/>
    </xf>
    <xf borderId="2" fillId="0" fontId="33" numFmtId="0" xfId="0" applyAlignment="1" applyBorder="1" applyFont="1">
      <alignment horizontal="left" readingOrder="0" shrinkToFit="0" wrapText="0"/>
    </xf>
    <xf borderId="2" fillId="0" fontId="31" numFmtId="0" xfId="0" applyAlignment="1" applyBorder="1" applyFont="1">
      <alignment horizontal="left" readingOrder="0" shrinkToFit="0" wrapText="0"/>
    </xf>
    <xf borderId="2" fillId="0" fontId="31" numFmtId="0" xfId="0" applyAlignment="1" applyBorder="1" applyFont="1">
      <alignment horizontal="left" readingOrder="0"/>
    </xf>
    <xf borderId="2" fillId="0" fontId="23" numFmtId="0" xfId="0" applyAlignment="1" applyBorder="1" applyFont="1">
      <alignment horizontal="left" readingOrder="0"/>
    </xf>
    <xf borderId="2" fillId="0" fontId="23" numFmtId="164" xfId="0" applyAlignment="1" applyBorder="1" applyFont="1" applyNumberFormat="1">
      <alignment horizontal="right" readingOrder="0"/>
    </xf>
    <xf borderId="2" fillId="0" fontId="23" numFmtId="0" xfId="0" applyAlignment="1" applyBorder="1" applyFont="1">
      <alignment horizontal="left"/>
    </xf>
    <xf borderId="2" fillId="0" fontId="23" numFmtId="0" xfId="0" applyAlignment="1" applyBorder="1" applyFont="1">
      <alignment horizontal="center"/>
    </xf>
    <xf borderId="0" fillId="0" fontId="23" numFmtId="0" xfId="0" applyAlignment="1" applyFont="1">
      <alignment horizontal="center"/>
    </xf>
    <xf borderId="0" fillId="0" fontId="23" numFmtId="0" xfId="0" applyAlignment="1" applyFont="1">
      <alignment horizontal="center" readingOrder="0"/>
    </xf>
    <xf borderId="0" fillId="0" fontId="23" numFmtId="164" xfId="0" applyAlignment="1" applyFont="1" applyNumberFormat="1">
      <alignment horizontal="center" readingOrder="0"/>
    </xf>
    <xf borderId="0" fillId="2" fontId="34" numFmtId="0" xfId="0" applyAlignment="1" applyFont="1">
      <alignment horizontal="center" readingOrder="0" shrinkToFit="0" vertical="center" wrapText="0"/>
    </xf>
    <xf borderId="0" fillId="2" fontId="6" numFmtId="0" xfId="0" applyAlignment="1" applyFont="1">
      <alignment horizontal="center"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0" fillId="2" fontId="35" numFmtId="0" xfId="0" applyAlignment="1" applyFont="1">
      <alignment horizontal="right" readingOrder="0" shrinkToFit="0" vertical="center" wrapText="0"/>
    </xf>
    <xf borderId="0" fillId="2" fontId="9" numFmtId="0" xfId="0" applyAlignment="1" applyFont="1">
      <alignment horizontal="left" readingOrder="0" shrinkToFit="0" vertical="center" wrapText="0"/>
    </xf>
    <xf borderId="0" fillId="2" fontId="28" numFmtId="0" xfId="0" applyAlignment="1" applyFont="1">
      <alignment horizontal="center" readingOrder="0" shrinkToFit="0" vertical="center" wrapText="0"/>
    </xf>
    <xf borderId="0" fillId="2" fontId="28" numFmtId="0" xfId="0" applyAlignment="1" applyFont="1">
      <alignment horizontal="center" readingOrder="0" shrinkToFit="0" vertical="center" wrapText="1"/>
    </xf>
    <xf borderId="8" fillId="25" fontId="29" numFmtId="0" xfId="0" applyAlignment="1" applyBorder="1" applyFill="1" applyFont="1">
      <alignment horizontal="center" readingOrder="0" shrinkToFit="0" vertical="center" wrapText="0"/>
    </xf>
    <xf borderId="9" fillId="25" fontId="29" numFmtId="0" xfId="0" applyAlignment="1" applyBorder="1" applyFont="1">
      <alignment horizontal="center" readingOrder="0" shrinkToFit="0" vertical="center" wrapText="1"/>
    </xf>
    <xf borderId="10" fillId="0" fontId="23" numFmtId="0" xfId="0" applyBorder="1" applyFont="1"/>
    <xf borderId="0" fillId="0" fontId="28" numFmtId="0" xfId="0" applyAlignment="1" applyFont="1">
      <alignment horizontal="center" vertical="center"/>
    </xf>
    <xf borderId="2" fillId="20" fontId="29" numFmtId="0" xfId="0" applyAlignment="1" applyBorder="1" applyFont="1">
      <alignment horizontal="center" readingOrder="0" shrinkToFit="0" vertical="center" wrapText="0"/>
    </xf>
    <xf borderId="2" fillId="20" fontId="29" numFmtId="0" xfId="0" applyAlignment="1" applyBorder="1" applyFont="1">
      <alignment horizontal="center" readingOrder="0" shrinkToFit="0" vertical="center" wrapText="1"/>
    </xf>
    <xf borderId="2" fillId="2" fontId="28" numFmtId="0" xfId="0" applyAlignment="1" applyBorder="1" applyFont="1">
      <alignment horizontal="center" readingOrder="0" shrinkToFit="0" vertical="center" wrapText="0"/>
    </xf>
    <xf borderId="2" fillId="2" fontId="28" numFmtId="0" xfId="0" applyAlignment="1" applyBorder="1" applyFont="1">
      <alignment horizontal="center" readingOrder="0" shrinkToFit="0" vertical="center" wrapText="1"/>
    </xf>
    <xf borderId="2" fillId="0" fontId="28" numFmtId="0" xfId="0" applyAlignment="1" applyBorder="1" applyFont="1">
      <alignment horizontal="center" vertical="center"/>
    </xf>
    <xf borderId="0" fillId="2" fontId="28" numFmtId="0" xfId="0" applyAlignment="1" applyFont="1">
      <alignment horizontal="center" vertical="center"/>
    </xf>
    <xf borderId="0" fillId="2" fontId="28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3.44" defaultRowHeight="15.0"/>
  <cols>
    <col customWidth="1" min="1" max="1" width="2.33"/>
    <col customWidth="1" min="2" max="2" width="17.67"/>
    <col customWidth="1" min="3" max="3" width="16.78"/>
    <col customWidth="1" min="4" max="4" width="17.44"/>
    <col customWidth="1" min="5" max="75" width="52.11"/>
  </cols>
  <sheetData>
    <row r="1" ht="6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</row>
    <row r="2" ht="26.25" customHeight="1">
      <c r="A2" s="5"/>
      <c r="B2" s="6" t="s">
        <v>1</v>
      </c>
      <c r="C2" s="7">
        <f>TODAY()</f>
        <v>46149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</row>
    <row r="3" ht="16.5" customHeight="1">
      <c r="A3" s="5"/>
      <c r="B3" s="9"/>
      <c r="C3" s="10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</row>
    <row r="4" ht="6.0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</row>
    <row r="5" ht="21.0" customHeight="1">
      <c r="A5" s="14"/>
      <c r="B5" s="15" t="s">
        <v>3</v>
      </c>
      <c r="C5" s="16" t="s">
        <v>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</row>
    <row r="6" ht="21.0" customHeight="1">
      <c r="A6" s="18"/>
      <c r="B6" s="19" t="s">
        <v>5</v>
      </c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</row>
    <row r="7" ht="21.0" customHeight="1">
      <c r="A7" s="18"/>
      <c r="B7" s="21" t="s">
        <v>6</v>
      </c>
      <c r="C7" s="22" t="str">
        <f>vlookup(B7,'재고 백업'!$A:$B,2,0)</f>
        <v>-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</row>
    <row r="8" ht="21.0" customHeight="1">
      <c r="A8" s="18"/>
      <c r="B8" s="21" t="s">
        <v>7</v>
      </c>
      <c r="C8" s="22" t="str">
        <f>vlookup(B8,'재고 백업'!$A:$B,2,0)</f>
        <v>-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</row>
    <row r="9" ht="21.0" customHeight="1">
      <c r="A9" s="23"/>
      <c r="B9" s="24"/>
      <c r="C9" s="24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</row>
    <row r="10" ht="21.0" customHeight="1">
      <c r="A10" s="18"/>
      <c r="B10" s="19" t="s">
        <v>8</v>
      </c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</row>
    <row r="11" ht="21.0" customHeight="1">
      <c r="A11" s="18"/>
      <c r="B11" s="21" t="s">
        <v>9</v>
      </c>
      <c r="C11" s="22">
        <f>vlookup(B11,'재고 백업'!$A:$B,2,0)</f>
        <v>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</row>
    <row r="12" ht="21.0" customHeight="1">
      <c r="A12" s="18"/>
      <c r="B12" s="21" t="s">
        <v>10</v>
      </c>
      <c r="C12" s="22">
        <f>vlookup(B12,'재고 백업'!$A:$B,2,0)</f>
        <v>17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</row>
    <row r="13" ht="21.0" customHeight="1">
      <c r="A13" s="23"/>
      <c r="B13" s="24"/>
      <c r="C13" s="24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</row>
    <row r="14" ht="21.0" customHeight="1">
      <c r="A14" s="23"/>
      <c r="B14" s="25" t="s">
        <v>11</v>
      </c>
      <c r="C14" s="25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</row>
    <row r="15" ht="21.0" customHeight="1">
      <c r="A15" s="23"/>
      <c r="B15" s="21" t="s">
        <v>12</v>
      </c>
      <c r="C15" s="22" t="str">
        <f>vlookup(B15,'재고 백업'!$A:$B,2,0)</f>
        <v>-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</row>
    <row r="16" ht="21.0" customHeight="1">
      <c r="A16" s="23"/>
      <c r="B16" s="24"/>
      <c r="C16" s="24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</row>
    <row r="17" ht="21.0" customHeight="1">
      <c r="A17" s="23"/>
      <c r="B17" s="25" t="s">
        <v>13</v>
      </c>
      <c r="C17" s="25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</row>
    <row r="18" ht="21.0" customHeight="1">
      <c r="A18" s="23"/>
      <c r="B18" s="26" t="s">
        <v>14</v>
      </c>
      <c r="C18" s="22" t="str">
        <f>vlookup(B18,'재고 백업'!$A:$B,2,0)</f>
        <v>-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</row>
    <row r="19" ht="21.0" customHeight="1">
      <c r="A19" s="23"/>
      <c r="B19" s="26" t="s">
        <v>15</v>
      </c>
      <c r="C19" s="22">
        <f>vlookup(B19,'재고 백업'!$A:$B,2,0)</f>
        <v>104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</row>
    <row r="20" ht="21.0" customHeight="1">
      <c r="A20" s="23"/>
      <c r="B20" s="26" t="s">
        <v>16</v>
      </c>
      <c r="C20" s="22">
        <f>vlookup(B20,'재고 백업'!$A:$B,2,0)</f>
        <v>391</v>
      </c>
      <c r="D20" s="27"/>
      <c r="E20" s="20" t="s">
        <v>17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</row>
    <row r="21" ht="21.0" customHeight="1">
      <c r="A21" s="23"/>
      <c r="B21" s="26" t="s">
        <v>18</v>
      </c>
      <c r="C21" s="22">
        <f>vlookup(B21,'재고 백업'!$A:$B,2,0)</f>
        <v>151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</row>
    <row r="22" ht="21.0" customHeight="1">
      <c r="A22" s="23"/>
      <c r="B22" s="26" t="s">
        <v>19</v>
      </c>
      <c r="C22" s="22">
        <f>vlookup(B22,'재고 백업'!$A:$B,2,0)</f>
        <v>131</v>
      </c>
      <c r="D22" s="20"/>
      <c r="E22" s="20" t="s">
        <v>20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</row>
    <row r="23" ht="21.0" customHeight="1">
      <c r="A23" s="23"/>
      <c r="B23" s="26" t="s">
        <v>21</v>
      </c>
      <c r="C23" s="22" t="str">
        <f>vlookup(B23,'재고 백업'!$A:$B,2,0)</f>
        <v>-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</row>
    <row r="24" ht="21.0" customHeight="1">
      <c r="A24" s="23"/>
      <c r="B24" s="26" t="s">
        <v>22</v>
      </c>
      <c r="C24" s="22">
        <f>vlookup(B24,'재고 백업'!$A:$B,2,0)</f>
        <v>114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</row>
    <row r="25" ht="21.0" customHeight="1">
      <c r="A25" s="23"/>
      <c r="B25" s="26" t="s">
        <v>23</v>
      </c>
      <c r="C25" s="22">
        <f>vlookup(B25,'재고 백업'!$A:$B,2,0)</f>
        <v>160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</row>
    <row r="26" ht="21.0" customHeight="1">
      <c r="A26" s="23"/>
      <c r="B26" s="26" t="s">
        <v>24</v>
      </c>
      <c r="C26" s="22">
        <f>vlookup(B26,'재고 백업'!$A:$B,2,0)</f>
        <v>54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</row>
    <row r="27" ht="21.0" customHeight="1">
      <c r="A27" s="23"/>
      <c r="B27" s="26" t="s">
        <v>25</v>
      </c>
      <c r="C27" s="22">
        <f>vlookup(B27,'재고 백업'!$A:$B,2,0)</f>
        <v>82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</row>
    <row r="28" ht="21.0" customHeight="1">
      <c r="A28" s="23"/>
      <c r="B28" s="26" t="s">
        <v>26</v>
      </c>
      <c r="C28" s="22">
        <f>vlookup(B28,'재고 백업'!$A:$B,2,0)</f>
        <v>87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</row>
    <row r="29" ht="21.0" customHeight="1">
      <c r="A29" s="23"/>
      <c r="B29" s="26" t="s">
        <v>27</v>
      </c>
      <c r="C29" s="22">
        <f>vlookup(B29,'재고 백업'!$A:$B,2,0)</f>
        <v>84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</row>
    <row r="30" ht="21.0" customHeight="1">
      <c r="A30" s="23"/>
      <c r="B30" s="26" t="s">
        <v>28</v>
      </c>
      <c r="C30" s="22">
        <f>vlookup(B30,'재고 백업'!$A:$B,2,0)</f>
        <v>97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</row>
    <row r="31" ht="21.0" customHeight="1">
      <c r="A31" s="23"/>
      <c r="B31" s="26" t="s">
        <v>29</v>
      </c>
      <c r="C31" s="22" t="str">
        <f>vlookup(B31,'재고 백업'!$A:$B,2,0)</f>
        <v>-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</row>
    <row r="32" ht="21.0" customHeight="1">
      <c r="A32" s="23"/>
      <c r="B32" s="26" t="s">
        <v>30</v>
      </c>
      <c r="C32" s="22">
        <f>vlookup(B32,'재고 백업'!$A:$B,2,0)</f>
        <v>116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</row>
    <row r="33" ht="21.0" customHeight="1">
      <c r="A33" s="23"/>
      <c r="B33" s="26" t="s">
        <v>31</v>
      </c>
      <c r="C33" s="22">
        <f>vlookup(B33,'재고 백업'!$A:$B,2,0)</f>
        <v>85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</row>
    <row r="34" ht="21.0" customHeight="1">
      <c r="A34" s="23"/>
      <c r="B34" s="26" t="s">
        <v>32</v>
      </c>
      <c r="C34" s="22">
        <f>vlookup(B34,'재고 백업'!$A:$B,2,0)</f>
        <v>45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</row>
    <row r="35" ht="21.0" customHeight="1">
      <c r="A35" s="23"/>
      <c r="B35" s="26" t="s">
        <v>33</v>
      </c>
      <c r="C35" s="22">
        <f>vlookup(B35,'재고 백업'!$A:$B,2,0)</f>
        <v>60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</row>
    <row r="36" ht="21.0" customHeight="1">
      <c r="A36" s="23"/>
      <c r="B36" s="26" t="s">
        <v>34</v>
      </c>
      <c r="C36" s="22">
        <f>vlookup(B36,'재고 백업'!$A:$B,2,0)</f>
        <v>60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</row>
    <row r="37" ht="21.0" customHeight="1">
      <c r="A37" s="23"/>
      <c r="B37" s="26" t="s">
        <v>35</v>
      </c>
      <c r="C37" s="22">
        <f>vlookup(B37,'재고 백업'!$A:$B,2,0)</f>
        <v>60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</row>
    <row r="38" ht="21.0" customHeight="1">
      <c r="A38" s="23"/>
      <c r="B38" s="26" t="s">
        <v>36</v>
      </c>
      <c r="C38" s="22">
        <f>vlookup(B38,'재고 백업'!$A:$B,2,0)</f>
        <v>60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</row>
    <row r="39" ht="21.0" customHeight="1">
      <c r="A39" s="23"/>
      <c r="B39" s="26" t="s">
        <v>37</v>
      </c>
      <c r="C39" s="22" t="str">
        <f>vlookup(B39,'재고 백업'!$A:$B,2,0)</f>
        <v>-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</row>
    <row r="40" ht="21.0" customHeight="1">
      <c r="A40" s="23"/>
      <c r="B40" s="26" t="s">
        <v>38</v>
      </c>
      <c r="C40" s="21" t="str">
        <f>vlookup(B40,'재고 백업'!$A:$B,2,0)</f>
        <v>#N/A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</row>
    <row r="41" ht="21.0" customHeight="1">
      <c r="A41" s="23"/>
      <c r="B41" s="26" t="s">
        <v>39</v>
      </c>
      <c r="C41" s="22">
        <f>vlookup(B41,'재고 백업'!$A:$B,2,0)</f>
        <v>47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</row>
    <row r="42" ht="21.0" customHeight="1">
      <c r="A42" s="23"/>
      <c r="B42" s="26" t="s">
        <v>40</v>
      </c>
      <c r="C42" s="22">
        <f>vlookup(B42,'재고 백업'!$A:$B,2,0)</f>
        <v>44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</row>
    <row r="43" ht="21.0" customHeight="1">
      <c r="A43" s="23"/>
      <c r="B43" s="26" t="s">
        <v>41</v>
      </c>
      <c r="C43" s="22">
        <f>vlookup(B43,'재고 백업'!$A:$B,2,0)</f>
        <v>20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</row>
    <row r="44" ht="21.0" customHeight="1">
      <c r="A44" s="23"/>
      <c r="B44" s="26" t="s">
        <v>42</v>
      </c>
      <c r="C44" s="22">
        <f>vlookup(B44,'재고 백업'!$A:$B,2,0)</f>
        <v>43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</row>
    <row r="45" ht="21.0" customHeight="1">
      <c r="A45" s="23"/>
      <c r="B45" s="26" t="s">
        <v>43</v>
      </c>
      <c r="C45" s="22">
        <f>vlookup(B45,'재고 백업'!$A:$B,2,0)</f>
        <v>20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</row>
    <row r="46" ht="21.0" customHeight="1">
      <c r="A46" s="23"/>
      <c r="B46" s="26" t="s">
        <v>44</v>
      </c>
      <c r="C46" s="22">
        <f>vlookup(B46,'재고 백업'!$A:$B,2,0)</f>
        <v>55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</row>
    <row r="47" ht="21.0" customHeight="1">
      <c r="A47" s="23"/>
      <c r="B47" s="26" t="s">
        <v>45</v>
      </c>
      <c r="C47" s="22">
        <f>vlookup(B47,'재고 백업'!$A:$B,2,0)</f>
        <v>34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</row>
    <row r="48" ht="21.0" customHeight="1">
      <c r="A48" s="23"/>
      <c r="B48" s="26" t="s">
        <v>46</v>
      </c>
      <c r="C48" s="22">
        <f>vlookup(B48,'재고 백업'!$A:$B,2,0)</f>
        <v>59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</row>
    <row r="49" ht="21.0" customHeight="1">
      <c r="A49" s="23"/>
      <c r="B49" s="26" t="s">
        <v>47</v>
      </c>
      <c r="C49" s="22">
        <f>vlookup(B49,'재고 백업'!$A:$B,2,0)</f>
        <v>10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</row>
    <row r="50" ht="21.0" customHeight="1">
      <c r="A50" s="23"/>
      <c r="B50" s="26" t="s">
        <v>48</v>
      </c>
      <c r="C50" s="22">
        <f>vlookup(B50,'재고 백업'!$A:$B,2,0)</f>
        <v>101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</row>
    <row r="51" ht="21.0" customHeight="1">
      <c r="A51" s="23"/>
      <c r="B51" s="26" t="s">
        <v>49</v>
      </c>
      <c r="C51" s="22">
        <f>vlookup(B51,'재고 백업'!$A:$B,2,0)</f>
        <v>25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</row>
    <row r="52" ht="21.0" customHeight="1">
      <c r="A52" s="23"/>
      <c r="B52" s="24"/>
      <c r="C52" s="24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</row>
    <row r="53" ht="21.0" customHeight="1">
      <c r="A53" s="23"/>
      <c r="B53" s="28" t="s">
        <v>50</v>
      </c>
      <c r="C53" s="28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</row>
    <row r="54" ht="21.0" customHeight="1">
      <c r="A54" s="23"/>
      <c r="B54" s="21" t="s">
        <v>51</v>
      </c>
      <c r="C54" s="22" t="str">
        <f>vlookup(B54,'재고 백업'!$A:$B,2,0)</f>
        <v>-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</row>
    <row r="55" ht="21.0" customHeight="1">
      <c r="A55" s="23"/>
      <c r="B55" s="21" t="s">
        <v>52</v>
      </c>
      <c r="C55" s="22" t="str">
        <f>vlookup(B55,'재고 백업'!$A:$B,2,0)</f>
        <v>-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</row>
    <row r="56" ht="21.0" customHeight="1">
      <c r="A56" s="23"/>
      <c r="B56" s="24"/>
      <c r="C56" s="24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</row>
    <row r="57" ht="21.0" customHeight="1">
      <c r="A57" s="23"/>
      <c r="B57" s="28" t="s">
        <v>53</v>
      </c>
      <c r="C57" s="28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</row>
    <row r="58" ht="21.0" customHeight="1">
      <c r="A58" s="23"/>
      <c r="B58" s="21" t="s">
        <v>54</v>
      </c>
      <c r="C58" s="22" t="str">
        <f>vlookup(B58,'재고 백업'!$A:$B,2,0)</f>
        <v>-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</row>
    <row r="59" ht="21.0" customHeight="1">
      <c r="A59" s="23"/>
      <c r="B59" s="24"/>
      <c r="C59" s="24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</row>
    <row r="60" ht="21.0" customHeight="1">
      <c r="A60" s="23"/>
      <c r="B60" s="28" t="s">
        <v>55</v>
      </c>
      <c r="C60" s="28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</row>
    <row r="61" ht="21.0" customHeight="1">
      <c r="A61" s="23"/>
      <c r="B61" s="21" t="s">
        <v>56</v>
      </c>
      <c r="C61" s="22">
        <f>vlookup(B61,'재고 백업'!$A:$B,2,0)</f>
        <v>202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</row>
    <row r="62" ht="21.0" customHeight="1">
      <c r="A62" s="23"/>
      <c r="B62" s="29"/>
      <c r="C62" s="3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</row>
    <row r="63" ht="21.0" customHeight="1">
      <c r="A63" s="23"/>
      <c r="B63" s="25" t="s">
        <v>57</v>
      </c>
      <c r="C63" s="25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</row>
    <row r="64" ht="21.0" customHeight="1">
      <c r="A64" s="23"/>
      <c r="B64" s="21" t="s">
        <v>58</v>
      </c>
      <c r="C64" s="22" t="str">
        <f>vlookup(B64,'재고 백업'!$A:$B,2,0)</f>
        <v>-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</row>
    <row r="65" ht="21.0" customHeight="1">
      <c r="A65" s="23"/>
      <c r="B65" s="21" t="s">
        <v>59</v>
      </c>
      <c r="C65" s="22" t="str">
        <f>vlookup(B65,'재고 백업'!$A:$B,2,0)</f>
        <v>-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</row>
    <row r="66" ht="21.0" customHeight="1">
      <c r="A66" s="23"/>
      <c r="B66" s="21" t="s">
        <v>60</v>
      </c>
      <c r="C66" s="22" t="str">
        <f>vlookup(B66,'재고 백업'!$A:$B,2,0)</f>
        <v>-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</row>
    <row r="67" ht="21.0" customHeight="1">
      <c r="A67" s="23"/>
      <c r="B67" s="21" t="s">
        <v>61</v>
      </c>
      <c r="C67" s="22">
        <f>vlookup(B67,'재고 백업'!$A:$B,2,0)</f>
        <v>1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</row>
    <row r="68" ht="21.0" customHeight="1">
      <c r="A68" s="23"/>
      <c r="B68" s="29"/>
      <c r="C68" s="3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</row>
    <row r="69" ht="21.0" customHeight="1">
      <c r="A69" s="23"/>
      <c r="B69" s="31" t="s">
        <v>62</v>
      </c>
      <c r="C69" s="3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</row>
    <row r="70" ht="21.0" customHeight="1">
      <c r="A70" s="23"/>
      <c r="B70" s="32" t="s">
        <v>63</v>
      </c>
      <c r="C70" s="22">
        <f>vlookup(B70,'재고 백업'!$A:$B,2,0)</f>
        <v>40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</row>
    <row r="71" ht="21.0" customHeight="1">
      <c r="A71" s="23"/>
      <c r="B71" s="32" t="s">
        <v>64</v>
      </c>
      <c r="C71" s="22">
        <f>vlookup(B71,'재고 백업'!$A:$B,2,0)</f>
        <v>25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</row>
    <row r="72" ht="21.0" customHeight="1">
      <c r="A72" s="23"/>
      <c r="B72" s="32" t="s">
        <v>65</v>
      </c>
      <c r="C72" s="22">
        <f>vlookup(B72,'재고 백업'!$A:$B,2,0)</f>
        <v>21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</row>
    <row r="73" ht="21.0" customHeight="1">
      <c r="A73" s="23"/>
      <c r="B73" s="29"/>
      <c r="C73" s="3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</row>
    <row r="74" ht="21.0" customHeight="1">
      <c r="A74" s="23"/>
      <c r="B74" s="28" t="s">
        <v>66</v>
      </c>
      <c r="C74" s="28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</row>
    <row r="75" ht="21.0" customHeight="1">
      <c r="A75" s="23"/>
      <c r="B75" s="21" t="s">
        <v>67</v>
      </c>
      <c r="C75" s="22">
        <f>vlookup(B75,'재고 백업'!$A:$B,2,0)</f>
        <v>41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</row>
    <row r="76" ht="21.0" customHeight="1">
      <c r="A76" s="23"/>
      <c r="B76" s="21" t="s">
        <v>68</v>
      </c>
      <c r="C76" s="22" t="str">
        <f>vlookup(B76,'재고 백업'!$A:$B,2,0)</f>
        <v>-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</row>
    <row r="77" ht="21.0" customHeight="1">
      <c r="A77" s="23"/>
      <c r="B77" s="29"/>
      <c r="C77" s="3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</row>
    <row r="78" ht="21.0" customHeight="1">
      <c r="A78" s="23"/>
      <c r="B78" s="33" t="s">
        <v>69</v>
      </c>
      <c r="C78" s="33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</row>
    <row r="79" ht="21.0" customHeight="1">
      <c r="A79" s="23"/>
      <c r="B79" s="32" t="s">
        <v>70</v>
      </c>
      <c r="C79" s="22">
        <f>vlookup(B79,'재고 백업'!$A:$B,2,0)</f>
        <v>56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</row>
    <row r="80" ht="21.0" customHeight="1">
      <c r="A80" s="23"/>
      <c r="B80" s="32" t="s">
        <v>71</v>
      </c>
      <c r="C80" s="22">
        <f>vlookup(B80,'재고 백업'!$A:$B,2,0)</f>
        <v>247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</row>
    <row r="81" ht="21.0" customHeight="1">
      <c r="A81" s="23"/>
      <c r="B81" s="32" t="s">
        <v>72</v>
      </c>
      <c r="C81" s="22">
        <f>vlookup(B81,'재고 백업'!$A:$B,2,0)</f>
        <v>38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</row>
    <row r="82" ht="21.0" customHeight="1">
      <c r="A82" s="23"/>
      <c r="B82" s="32" t="s">
        <v>73</v>
      </c>
      <c r="C82" s="22">
        <f>vlookup(B82,'재고 백업'!$A:$B,2,0)</f>
        <v>215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</row>
    <row r="83" ht="21.0" customHeight="1">
      <c r="A83" s="23"/>
      <c r="B83" s="32" t="s">
        <v>74</v>
      </c>
      <c r="C83" s="22">
        <f>vlookup(B83,'재고 백업'!$A:$B,2,0)</f>
        <v>131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</row>
    <row r="84" ht="21.0" customHeight="1">
      <c r="A84" s="23"/>
      <c r="B84" s="29"/>
      <c r="C84" s="3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</row>
    <row r="85" ht="21.0" customHeight="1">
      <c r="A85" s="23"/>
      <c r="B85" s="34" t="s">
        <v>75</v>
      </c>
      <c r="C85" s="34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</row>
    <row r="86" ht="21.0" customHeight="1">
      <c r="A86" s="23"/>
      <c r="B86" s="32" t="s">
        <v>76</v>
      </c>
      <c r="C86" s="22">
        <f>vlookup(B86,'재고 백업'!$A:$B,2,0)</f>
        <v>16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</row>
    <row r="87" ht="21.0" customHeight="1">
      <c r="A87" s="23"/>
      <c r="B87" s="32" t="s">
        <v>77</v>
      </c>
      <c r="C87" s="22">
        <f>vlookup(B87,'재고 백업'!$A:$B,2,0)</f>
        <v>7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</row>
    <row r="88" ht="21.0" customHeight="1">
      <c r="A88" s="23"/>
      <c r="B88" s="32" t="s">
        <v>78</v>
      </c>
      <c r="C88" s="22">
        <f>vlookup(B88,'재고 백업'!$A:$B,2,0)</f>
        <v>45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</row>
    <row r="89" ht="21.0" customHeight="1">
      <c r="A89" s="23"/>
      <c r="B89" s="32" t="s">
        <v>79</v>
      </c>
      <c r="C89" s="22" t="str">
        <f>vlookup(B89,'재고 백업'!$A:$B,2,0)</f>
        <v>-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</row>
    <row r="90" ht="21.0" customHeight="1">
      <c r="A90" s="23"/>
      <c r="B90" s="32" t="s">
        <v>80</v>
      </c>
      <c r="C90" s="22">
        <f>vlookup(B90,'재고 백업'!$A:$B,2,0)</f>
        <v>16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</row>
    <row r="91" ht="21.0" customHeight="1">
      <c r="A91" s="23"/>
      <c r="B91" s="32" t="s">
        <v>81</v>
      </c>
      <c r="C91" s="22">
        <f>vlookup(B91,'재고 백업'!$A:$B,2,0)</f>
        <v>32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</row>
    <row r="92" ht="21.0" customHeight="1">
      <c r="A92" s="23"/>
      <c r="B92" s="32" t="s">
        <v>82</v>
      </c>
      <c r="C92" s="22">
        <f>vlookup(B92,'재고 백업'!$A:$B,2,0)</f>
        <v>23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</row>
    <row r="93" ht="21.0" customHeight="1">
      <c r="A93" s="23"/>
      <c r="B93" s="32" t="s">
        <v>83</v>
      </c>
      <c r="C93" s="22">
        <f>vlookup(B93,'재고 백업'!$A:$B,2,0)</f>
        <v>96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</row>
    <row r="94" ht="21.0" customHeight="1">
      <c r="A94" s="23"/>
      <c r="B94" s="32" t="s">
        <v>84</v>
      </c>
      <c r="C94" s="22">
        <f>vlookup(B94,'재고 백업'!$A:$B,2,0)</f>
        <v>16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</row>
    <row r="95" ht="21.0" customHeight="1">
      <c r="A95" s="23"/>
      <c r="B95" s="32" t="s">
        <v>85</v>
      </c>
      <c r="C95" s="22">
        <f>vlookup(B95,'재고 백업'!$A:$B,2,0)</f>
        <v>12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</row>
    <row r="96" ht="21.0" customHeight="1">
      <c r="A96" s="23"/>
      <c r="B96" s="32" t="s">
        <v>86</v>
      </c>
      <c r="C96" s="22">
        <f>vlookup(B96,'재고 백업'!$A:$B,2,0)</f>
        <v>343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</row>
    <row r="97" ht="21.0" customHeight="1">
      <c r="A97" s="23"/>
      <c r="B97" s="32" t="s">
        <v>87</v>
      </c>
      <c r="C97" s="22">
        <f>vlookup(B97,'재고 백업'!$A:$B,2,0)</f>
        <v>16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</row>
    <row r="98" ht="21.0" customHeight="1">
      <c r="A98" s="23"/>
      <c r="B98" s="32" t="s">
        <v>88</v>
      </c>
      <c r="C98" s="22">
        <f>vlookup(B98,'재고 백업'!$A:$B,2,0)</f>
        <v>12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</row>
    <row r="99" ht="21.0" customHeight="1">
      <c r="A99" s="23"/>
      <c r="B99" s="32" t="s">
        <v>89</v>
      </c>
      <c r="C99" s="22">
        <f>vlookup(B99,'재고 백업'!$A:$B,2,0)</f>
        <v>18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</row>
    <row r="100" ht="21.0" customHeight="1">
      <c r="A100" s="23"/>
      <c r="B100" s="24"/>
      <c r="C100" s="24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</row>
    <row r="101" ht="21.0" customHeight="1">
      <c r="A101" s="23"/>
      <c r="B101" s="31" t="s">
        <v>90</v>
      </c>
      <c r="C101" s="3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</row>
    <row r="102" ht="21.0" customHeight="1">
      <c r="A102" s="23"/>
      <c r="B102" s="32" t="s">
        <v>91</v>
      </c>
      <c r="C102" s="22">
        <f>vlookup(B102,'재고 백업'!$A:$B,2,0)</f>
        <v>2479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</row>
    <row r="103" ht="21.0" customHeight="1">
      <c r="A103" s="23"/>
      <c r="B103" s="32" t="s">
        <v>92</v>
      </c>
      <c r="C103" s="22">
        <f>vlookup(B103,'재고 백업'!$A:$B,2,0)</f>
        <v>497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</row>
    <row r="104" ht="21.0" customHeight="1">
      <c r="A104" s="23"/>
      <c r="B104" s="24"/>
      <c r="C104" s="24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</row>
    <row r="105" ht="21.0" customHeight="1">
      <c r="A105" s="23"/>
      <c r="B105" s="35" t="s">
        <v>93</v>
      </c>
      <c r="C105" s="35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</row>
    <row r="106" ht="21.0" customHeight="1">
      <c r="A106" s="23"/>
      <c r="B106" s="32" t="s">
        <v>94</v>
      </c>
      <c r="C106" s="22">
        <f>vlookup(B106,'재고 백업'!$A:$B,2,0)</f>
        <v>152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</row>
    <row r="107" ht="21.0" customHeight="1">
      <c r="A107" s="23"/>
      <c r="B107" s="32" t="s">
        <v>95</v>
      </c>
      <c r="C107" s="22">
        <f>vlookup(B107,'재고 백업'!$A:$B,2,0)</f>
        <v>299</v>
      </c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</row>
    <row r="108" ht="21.0" customHeight="1">
      <c r="A108" s="23"/>
      <c r="B108" s="32" t="s">
        <v>96</v>
      </c>
      <c r="C108" s="22">
        <f>vlookup(B108,'재고 백업'!$A:$B,2,0)</f>
        <v>58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</row>
    <row r="109" ht="21.0" customHeight="1">
      <c r="A109" s="23"/>
      <c r="B109" s="32" t="s">
        <v>97</v>
      </c>
      <c r="C109" s="22">
        <f>vlookup(B109,'재고 백업'!$A:$B,2,0)</f>
        <v>70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</row>
    <row r="110" ht="21.0" customHeight="1">
      <c r="A110" s="23"/>
      <c r="B110" s="32" t="s">
        <v>98</v>
      </c>
      <c r="C110" s="22">
        <f>vlookup(B110,'재고 백업'!$A:$B,2,0)</f>
        <v>62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</row>
    <row r="111" ht="21.0" customHeight="1">
      <c r="A111" s="23"/>
      <c r="B111" s="32" t="s">
        <v>99</v>
      </c>
      <c r="C111" s="22">
        <f>vlookup(B111,'재고 백업'!$A:$B,2,0)</f>
        <v>70</v>
      </c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</row>
    <row r="112" ht="21.0" customHeight="1">
      <c r="A112" s="23"/>
      <c r="B112" s="32" t="s">
        <v>100</v>
      </c>
      <c r="C112" s="22">
        <f>vlookup(B112,'재고 백업'!$A:$B,2,0)</f>
        <v>173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</row>
    <row r="113" ht="21.0" customHeight="1">
      <c r="A113" s="36"/>
      <c r="B113" s="32" t="s">
        <v>101</v>
      </c>
      <c r="C113" s="22">
        <f>vlookup(B113,'재고 백업'!$A:$B,2,0)</f>
        <v>236</v>
      </c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</row>
    <row r="114" ht="21.0" customHeight="1">
      <c r="A114" s="36"/>
      <c r="B114" s="32" t="s">
        <v>102</v>
      </c>
      <c r="C114" s="22">
        <f>vlookup(B114,'재고 백업'!$A:$B,2,0)</f>
        <v>96</v>
      </c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</row>
    <row r="115" ht="21.0" customHeight="1">
      <c r="A115" s="36"/>
      <c r="B115" s="32" t="s">
        <v>103</v>
      </c>
      <c r="C115" s="22">
        <f>vlookup(B115,'재고 백업'!$A:$B,2,0)</f>
        <v>80</v>
      </c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</row>
    <row r="116" ht="21.0" customHeight="1">
      <c r="A116" s="36"/>
      <c r="B116" s="32" t="s">
        <v>104</v>
      </c>
      <c r="C116" s="22">
        <f>vlookup(B116,'재고 백업'!$A:$B,2,0)</f>
        <v>1085</v>
      </c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</row>
    <row r="117" ht="21.0" customHeight="1">
      <c r="A117" s="36"/>
      <c r="B117" s="32" t="s">
        <v>105</v>
      </c>
      <c r="C117" s="22">
        <f>vlookup(B117,'재고 백업'!$A:$B,2,0)</f>
        <v>308</v>
      </c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</row>
    <row r="118" ht="21.0" customHeight="1">
      <c r="A118" s="36"/>
      <c r="B118" s="32" t="s">
        <v>106</v>
      </c>
      <c r="C118" s="22">
        <f>vlookup(B118,'재고 백업'!$A:$B,2,0)</f>
        <v>45</v>
      </c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</row>
    <row r="119" ht="21.0" customHeight="1">
      <c r="A119" s="36"/>
      <c r="B119" s="32" t="s">
        <v>107</v>
      </c>
      <c r="C119" s="22">
        <f>vlookup(B119,'재고 백업'!$A:$B,2,0)</f>
        <v>96</v>
      </c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</row>
    <row r="120" ht="21.0" customHeight="1">
      <c r="A120" s="36"/>
      <c r="B120" s="32" t="s">
        <v>108</v>
      </c>
      <c r="C120" s="22">
        <f>vlookup(B120,'재고 백업'!$A:$B,2,0)</f>
        <v>40</v>
      </c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</row>
    <row r="121" ht="21.0" customHeight="1">
      <c r="A121" s="36"/>
      <c r="B121" s="32" t="s">
        <v>109</v>
      </c>
      <c r="C121" s="22">
        <f>vlookup(B121,'재고 백업'!$A:$B,2,0)</f>
        <v>83</v>
      </c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</row>
    <row r="122" ht="21.0" customHeight="1">
      <c r="A122" s="36"/>
      <c r="B122" s="32" t="s">
        <v>110</v>
      </c>
      <c r="C122" s="22" t="str">
        <f>vlookup(B122,'재고 백업'!$A:$B,2,0)</f>
        <v>-</v>
      </c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</row>
    <row r="123" ht="21.0" customHeight="1">
      <c r="A123" s="36"/>
      <c r="B123" s="32" t="s">
        <v>111</v>
      </c>
      <c r="C123" s="22">
        <f>vlookup(B123,'재고 백업'!$A:$B,2,0)</f>
        <v>126</v>
      </c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</row>
    <row r="124" ht="21.0" customHeight="1">
      <c r="A124" s="36"/>
      <c r="B124" s="32" t="s">
        <v>112</v>
      </c>
      <c r="C124" s="22">
        <f>vlookup(B124,'재고 백업'!$A:$B,2,0)</f>
        <v>182</v>
      </c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</row>
    <row r="125" ht="21.0" customHeight="1">
      <c r="A125" s="36"/>
      <c r="B125" s="32" t="s">
        <v>113</v>
      </c>
      <c r="C125" s="22">
        <f>vlookup(B125,'재고 백업'!$A:$B,2,0)</f>
        <v>51</v>
      </c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</row>
    <row r="126" ht="21.0" customHeight="1">
      <c r="A126" s="36"/>
      <c r="B126" s="29"/>
      <c r="C126" s="30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</row>
    <row r="127" ht="21.0" customHeight="1">
      <c r="A127" s="36"/>
      <c r="B127" s="38" t="s">
        <v>114</v>
      </c>
      <c r="C127" s="38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</row>
    <row r="128" ht="21.0" customHeight="1">
      <c r="A128" s="36"/>
      <c r="B128" s="21" t="s">
        <v>115</v>
      </c>
      <c r="C128" s="22">
        <f>vlookup(B128,'재고 백업'!$A:$B,2,0)</f>
        <v>38</v>
      </c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</row>
    <row r="129" ht="21.0" customHeight="1">
      <c r="A129" s="36"/>
      <c r="B129" s="32" t="s">
        <v>116</v>
      </c>
      <c r="C129" s="22">
        <f>vlookup(B129,'재고 백업'!$A:$B,2,0)</f>
        <v>45</v>
      </c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</row>
    <row r="130" ht="21.0" customHeight="1">
      <c r="A130" s="36"/>
      <c r="B130" s="29"/>
      <c r="C130" s="30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</row>
    <row r="131" ht="21.0" customHeight="1">
      <c r="A131" s="36"/>
      <c r="B131" s="38" t="s">
        <v>117</v>
      </c>
      <c r="C131" s="38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</row>
    <row r="132" ht="21.0" customHeight="1">
      <c r="A132" s="36"/>
      <c r="B132" s="21" t="s">
        <v>118</v>
      </c>
      <c r="C132" s="22" t="str">
        <f>vlookup(B132,'재고 백업'!$A:$B,2,0)</f>
        <v>-</v>
      </c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</row>
    <row r="133" ht="21.0" customHeight="1">
      <c r="A133" s="36"/>
      <c r="B133" s="29"/>
      <c r="C133" s="30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</row>
    <row r="134" ht="21.0" customHeight="1">
      <c r="A134" s="36"/>
      <c r="B134" s="39" t="s">
        <v>119</v>
      </c>
      <c r="C134" s="39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</row>
    <row r="135" ht="21.0" customHeight="1">
      <c r="A135" s="36"/>
      <c r="B135" s="32" t="s">
        <v>120</v>
      </c>
      <c r="C135" s="22">
        <f>vlookup(B135,'재고 백업'!$A:$B,2,0)</f>
        <v>18</v>
      </c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</row>
    <row r="136" ht="21.0" customHeight="1">
      <c r="A136" s="36"/>
      <c r="B136" s="32" t="s">
        <v>121</v>
      </c>
      <c r="C136" s="22">
        <f>vlookup(B136,'재고 백업'!$A:$B,2,0)</f>
        <v>6</v>
      </c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</row>
    <row r="137" ht="21.0" customHeight="1">
      <c r="A137" s="36"/>
      <c r="B137" s="32" t="s">
        <v>122</v>
      </c>
      <c r="C137" s="22">
        <f>vlookup(B137,'재고 백업'!$A:$B,2,0)</f>
        <v>7</v>
      </c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</row>
    <row r="138" ht="21.0" customHeight="1">
      <c r="A138" s="36"/>
      <c r="B138" s="32" t="s">
        <v>123</v>
      </c>
      <c r="C138" s="22" t="str">
        <f>vlookup(B138,'재고 백업'!$A:$B,2,0)</f>
        <v>-</v>
      </c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</row>
    <row r="139" ht="21.0" customHeight="1">
      <c r="A139" s="36"/>
      <c r="B139" s="32" t="s">
        <v>124</v>
      </c>
      <c r="C139" s="22">
        <f>vlookup(B139,'재고 백업'!$A:$B,2,0)</f>
        <v>154</v>
      </c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</row>
    <row r="140" ht="21.0" customHeight="1">
      <c r="A140" s="36"/>
      <c r="B140" s="29"/>
      <c r="C140" s="30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</row>
    <row r="141" ht="21.0" customHeight="1">
      <c r="A141" s="36"/>
      <c r="B141" s="35" t="s">
        <v>125</v>
      </c>
      <c r="C141" s="35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</row>
    <row r="142" ht="21.0" customHeight="1">
      <c r="A142" s="36"/>
      <c r="B142" s="32" t="s">
        <v>126</v>
      </c>
      <c r="C142" s="22">
        <f>vlookup(B142,'재고 백업'!$A:$B,2,0)</f>
        <v>125</v>
      </c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</row>
    <row r="143" ht="21.0" customHeight="1">
      <c r="A143" s="36"/>
      <c r="B143" s="32" t="s">
        <v>127</v>
      </c>
      <c r="C143" s="22">
        <f>vlookup(B143,'재고 백업'!$A:$B,2,0)</f>
        <v>157</v>
      </c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</row>
    <row r="144" ht="21.0" customHeight="1">
      <c r="A144" s="36"/>
      <c r="B144" s="32" t="s">
        <v>128</v>
      </c>
      <c r="C144" s="22">
        <f>vlookup(B144,'재고 백업'!$A:$B,2,0)</f>
        <v>152</v>
      </c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</row>
    <row r="145" ht="21.0" customHeight="1">
      <c r="A145" s="36"/>
      <c r="B145" s="32" t="s">
        <v>129</v>
      </c>
      <c r="C145" s="22">
        <f>vlookup(B145,'재고 백업'!$A:$B,2,0)</f>
        <v>251</v>
      </c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</row>
    <row r="146" ht="21.0" customHeight="1">
      <c r="A146" s="36"/>
      <c r="B146" s="32" t="s">
        <v>130</v>
      </c>
      <c r="C146" s="22">
        <f>vlookup(B146,'재고 백업'!$A:$B,2,0)</f>
        <v>156</v>
      </c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</row>
    <row r="147" ht="21.0" customHeight="1">
      <c r="A147" s="36"/>
      <c r="B147" s="32" t="s">
        <v>131</v>
      </c>
      <c r="C147" s="22">
        <f>vlookup(B147,'재고 백업'!$A:$B,2,0)</f>
        <v>64</v>
      </c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</row>
    <row r="148" ht="21.0" customHeight="1">
      <c r="A148" s="36"/>
      <c r="B148" s="32" t="s">
        <v>132</v>
      </c>
      <c r="C148" s="22">
        <f>vlookup(B148,'재고 백업'!$A:$B,2,0)</f>
        <v>132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</row>
    <row r="149" ht="21.0" customHeight="1">
      <c r="A149" s="36"/>
      <c r="B149" s="32" t="s">
        <v>133</v>
      </c>
      <c r="C149" s="22">
        <f>vlookup(B149,'재고 백업'!$A:$B,2,0)</f>
        <v>159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</row>
    <row r="150" ht="21.0" customHeight="1">
      <c r="A150" s="36"/>
      <c r="B150" s="32" t="s">
        <v>134</v>
      </c>
      <c r="C150" s="22">
        <f>vlookup(B150,'재고 백업'!$A:$B,2,0)</f>
        <v>382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</row>
    <row r="151" ht="21.0" customHeight="1">
      <c r="A151" s="36"/>
      <c r="B151" s="32" t="s">
        <v>135</v>
      </c>
      <c r="C151" s="22">
        <f>vlookup(B151,'재고 백업'!$A:$B,2,0)</f>
        <v>73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</row>
    <row r="152" ht="21.0" customHeight="1">
      <c r="A152" s="36"/>
      <c r="B152" s="32" t="s">
        <v>136</v>
      </c>
      <c r="C152" s="22">
        <f>vlookup(B152,'재고 백업'!$A:$B,2,0)</f>
        <v>50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</row>
    <row r="153" ht="21.0" customHeight="1">
      <c r="A153" s="36"/>
      <c r="B153" s="32" t="s">
        <v>137</v>
      </c>
      <c r="C153" s="22" t="str">
        <f>vlookup(B153,'재고 백업'!$A:$B,2,0)</f>
        <v>-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</row>
    <row r="154" ht="21.0" customHeight="1">
      <c r="A154" s="36"/>
      <c r="B154" s="32" t="s">
        <v>138</v>
      </c>
      <c r="C154" s="22" t="str">
        <f>vlookup(B154,'재고 백업'!$A:$B,2,0)</f>
        <v>-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</row>
    <row r="155" ht="21.0" customHeight="1">
      <c r="A155" s="36"/>
      <c r="B155" s="32" t="s">
        <v>139</v>
      </c>
      <c r="C155" s="22">
        <f>vlookup(B155,'재고 백업'!$A:$B,2,0)</f>
        <v>180</v>
      </c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</row>
    <row r="156" ht="21.0" customHeight="1">
      <c r="A156" s="36"/>
      <c r="B156" s="32" t="s">
        <v>140</v>
      </c>
      <c r="C156" s="22">
        <f>vlookup(B156,'재고 백업'!$A:$B,2,0)</f>
        <v>27</v>
      </c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</row>
    <row r="157" ht="21.0" customHeight="1">
      <c r="A157" s="36"/>
      <c r="B157" s="32" t="s">
        <v>141</v>
      </c>
      <c r="C157" s="22">
        <f>vlookup(B157,'재고 백업'!$A:$B,2,0)</f>
        <v>76</v>
      </c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</row>
    <row r="158" ht="21.0" customHeight="1">
      <c r="A158" s="36"/>
      <c r="B158" s="32" t="s">
        <v>142</v>
      </c>
      <c r="C158" s="22">
        <f>vlookup(B158,'재고 백업'!$A:$B,2,0)</f>
        <v>146</v>
      </c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</row>
    <row r="159" ht="21.0" customHeight="1">
      <c r="A159" s="36"/>
      <c r="B159" s="32" t="s">
        <v>143</v>
      </c>
      <c r="C159" s="22">
        <f>vlookup(B159,'재고 백업'!$A:$B,2,0)</f>
        <v>141</v>
      </c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</row>
    <row r="160" ht="21.0" customHeight="1">
      <c r="A160" s="36"/>
      <c r="B160" s="32" t="s">
        <v>144</v>
      </c>
      <c r="C160" s="22">
        <f>vlookup(B160,'재고 백업'!$A:$B,2,0)</f>
        <v>221</v>
      </c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</row>
    <row r="161" ht="21.0" customHeight="1">
      <c r="A161" s="36"/>
      <c r="B161" s="32" t="s">
        <v>145</v>
      </c>
      <c r="C161" s="22">
        <f>vlookup(B161,'재고 백업'!$A:$B,2,0)</f>
        <v>21</v>
      </c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</row>
    <row r="162" ht="21.0" customHeight="1">
      <c r="A162" s="36"/>
      <c r="B162" s="32" t="s">
        <v>146</v>
      </c>
      <c r="C162" s="22">
        <f>vlookup(B162,'재고 백업'!$A:$B,2,0)</f>
        <v>110</v>
      </c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</row>
    <row r="163" ht="21.0" customHeight="1">
      <c r="A163" s="36"/>
      <c r="B163" s="32" t="s">
        <v>147</v>
      </c>
      <c r="C163" s="22">
        <f>vlookup(B163,'재고 백업'!$A:$B,2,0)</f>
        <v>32</v>
      </c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</row>
    <row r="164" ht="21.0" customHeight="1">
      <c r="A164" s="36"/>
      <c r="B164" s="29"/>
      <c r="C164" s="30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</row>
    <row r="165" ht="21.0" customHeight="1">
      <c r="A165" s="36"/>
      <c r="B165" s="41" t="s">
        <v>148</v>
      </c>
      <c r="C165" s="41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</row>
    <row r="166" ht="21.0" customHeight="1">
      <c r="A166" s="36"/>
      <c r="B166" s="32" t="s">
        <v>149</v>
      </c>
      <c r="C166" s="22" t="str">
        <f>vlookup(B166,'재고 백업'!$A:$B,2,0)</f>
        <v>-</v>
      </c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</row>
    <row r="167" ht="21.0" customHeight="1">
      <c r="A167" s="36"/>
      <c r="B167" s="29"/>
      <c r="C167" s="30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</row>
    <row r="168" ht="21.0" customHeight="1">
      <c r="A168" s="36"/>
      <c r="B168" s="41" t="s">
        <v>150</v>
      </c>
      <c r="C168" s="41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</row>
    <row r="169" ht="21.0" customHeight="1">
      <c r="A169" s="36"/>
      <c r="B169" s="32" t="s">
        <v>151</v>
      </c>
      <c r="C169" s="22" t="str">
        <f>vlookup(B169,'재고 백업'!$A:$B,2,0)</f>
        <v>-</v>
      </c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</row>
    <row r="170" ht="21.0" customHeight="1">
      <c r="A170" s="36"/>
      <c r="B170" s="29"/>
      <c r="C170" s="30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</row>
    <row r="171" ht="21.0" customHeight="1">
      <c r="A171" s="36"/>
      <c r="B171" s="41" t="s">
        <v>152</v>
      </c>
      <c r="C171" s="41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</row>
    <row r="172" ht="21.0" customHeight="1">
      <c r="A172" s="36"/>
      <c r="B172" s="32" t="s">
        <v>153</v>
      </c>
      <c r="C172" s="22">
        <f>vlookup(B172,'재고 백업'!$A:$B,2,0)</f>
        <v>68</v>
      </c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</row>
    <row r="173" ht="21.0" customHeight="1">
      <c r="A173" s="36"/>
      <c r="B173" s="32" t="s">
        <v>154</v>
      </c>
      <c r="C173" s="22">
        <f>vlookup(B173,'재고 백업'!$A:$B,2,0)</f>
        <v>32</v>
      </c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</row>
    <row r="174" ht="21.0" customHeight="1">
      <c r="A174" s="36"/>
      <c r="B174" s="32" t="s">
        <v>155</v>
      </c>
      <c r="C174" s="22">
        <f>vlookup(B174,'재고 백업'!$A:$B,2,0)</f>
        <v>18</v>
      </c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</row>
    <row r="175" ht="21.0" customHeight="1">
      <c r="A175" s="36"/>
      <c r="B175" s="32" t="s">
        <v>156</v>
      </c>
      <c r="C175" s="22">
        <f>vlookup(B175,'재고 백업'!$A:$B,2,0)</f>
        <v>104</v>
      </c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</row>
    <row r="176" ht="21.0" customHeight="1">
      <c r="A176" s="36"/>
      <c r="B176" s="32" t="s">
        <v>157</v>
      </c>
      <c r="C176" s="22" t="str">
        <f>vlookup(B176,'재고 백업'!$A:$B,2,0)</f>
        <v>-</v>
      </c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</row>
    <row r="177" ht="21.0" customHeight="1">
      <c r="A177" s="36"/>
      <c r="B177" s="32" t="s">
        <v>158</v>
      </c>
      <c r="C177" s="22">
        <f>vlookup(B177,'재고 백업'!$A:$B,2,0)</f>
        <v>12</v>
      </c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</row>
    <row r="178" ht="21.0" customHeight="1">
      <c r="A178" s="36"/>
      <c r="B178" s="32" t="s">
        <v>159</v>
      </c>
      <c r="C178" s="22">
        <f>vlookup(B178,'재고 백업'!$A:$B,2,0)</f>
        <v>133</v>
      </c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</row>
    <row r="179" ht="21.0" customHeight="1">
      <c r="A179" s="36"/>
      <c r="B179" s="32" t="s">
        <v>160</v>
      </c>
      <c r="C179" s="22" t="str">
        <f>vlookup(B179,'재고 백업'!$A:$B,2,0)</f>
        <v>-</v>
      </c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</row>
    <row r="180" ht="21.0" customHeight="1">
      <c r="A180" s="36"/>
      <c r="B180" s="32" t="s">
        <v>161</v>
      </c>
      <c r="C180" s="22">
        <f>vlookup(B180,'재고 백업'!$A:$B,2,0)</f>
        <v>11</v>
      </c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</row>
    <row r="181" ht="21.0" customHeight="1">
      <c r="A181" s="36"/>
      <c r="B181" s="32" t="s">
        <v>162</v>
      </c>
      <c r="C181" s="22">
        <f>vlookup(B181,'재고 백업'!$A:$B,2,0)</f>
        <v>57</v>
      </c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</row>
    <row r="182" ht="21.0" customHeight="1">
      <c r="A182" s="36"/>
      <c r="B182" s="32" t="s">
        <v>163</v>
      </c>
      <c r="C182" s="22">
        <f>vlookup(B182,'재고 백업'!$A:$B,2,0)</f>
        <v>264</v>
      </c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</row>
    <row r="183" ht="21.0" customHeight="1">
      <c r="A183" s="36"/>
      <c r="B183" s="32" t="s">
        <v>164</v>
      </c>
      <c r="C183" s="22">
        <f>vlookup(B183,'재고 백업'!$A:$B,2,0)</f>
        <v>1</v>
      </c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</row>
    <row r="184" ht="21.0" customHeight="1">
      <c r="A184" s="36"/>
      <c r="B184" s="32" t="s">
        <v>165</v>
      </c>
      <c r="C184" s="22" t="str">
        <f>vlookup(B184,'재고 백업'!$A:$B,2,0)</f>
        <v>-</v>
      </c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</row>
    <row r="185" ht="21.0" customHeight="1">
      <c r="A185" s="36"/>
      <c r="B185" s="32" t="s">
        <v>166</v>
      </c>
      <c r="C185" s="22">
        <f>vlookup(B185,'재고 백업'!$A:$B,2,0)</f>
        <v>15</v>
      </c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</row>
    <row r="186" ht="21.0" customHeight="1">
      <c r="A186" s="36"/>
      <c r="B186" s="32" t="s">
        <v>167</v>
      </c>
      <c r="C186" s="22">
        <f>vlookup(B186,'재고 백업'!$A:$B,2,0)</f>
        <v>7</v>
      </c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</row>
    <row r="187" ht="21.0" customHeight="1">
      <c r="A187" s="36"/>
      <c r="B187" s="32" t="s">
        <v>168</v>
      </c>
      <c r="C187" s="22">
        <f>vlookup(B187,'재고 백업'!$A:$B,2,0)</f>
        <v>33</v>
      </c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</row>
    <row r="188" ht="21.0" customHeight="1">
      <c r="A188" s="36"/>
      <c r="B188" s="32" t="s">
        <v>169</v>
      </c>
      <c r="C188" s="22">
        <f>vlookup(B188,'재고 백업'!$A:$B,2,0)</f>
        <v>24</v>
      </c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</row>
    <row r="189" ht="21.0" customHeight="1">
      <c r="A189" s="36"/>
      <c r="B189" s="32" t="s">
        <v>170</v>
      </c>
      <c r="C189" s="22" t="str">
        <f>vlookup(B189,'재고 백업'!$A:$B,2,0)</f>
        <v>-</v>
      </c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</row>
    <row r="190" ht="21.0" customHeight="1">
      <c r="A190" s="36"/>
      <c r="B190" s="32" t="s">
        <v>171</v>
      </c>
      <c r="C190" s="22">
        <f>vlookup(B190,'재고 백업'!$A:$B,2,0)</f>
        <v>6</v>
      </c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</row>
    <row r="191" ht="21.0" customHeight="1">
      <c r="A191" s="36"/>
      <c r="B191" s="32" t="s">
        <v>172</v>
      </c>
      <c r="C191" s="22">
        <f>vlookup(B191,'재고 백업'!$A:$B,2,0)</f>
        <v>18</v>
      </c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</row>
    <row r="192" ht="21.0" customHeight="1">
      <c r="A192" s="36"/>
      <c r="B192" s="32" t="s">
        <v>173</v>
      </c>
      <c r="C192" s="22">
        <f>vlookup(B192,'재고 백업'!$A:$B,2,0)</f>
        <v>2</v>
      </c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</row>
    <row r="193" ht="21.0" customHeight="1">
      <c r="A193" s="36"/>
      <c r="B193" s="32" t="s">
        <v>174</v>
      </c>
      <c r="C193" s="22">
        <f>vlookup(B193,'재고 백업'!$A:$B,2,0)</f>
        <v>16</v>
      </c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</row>
    <row r="194" ht="21.0" customHeight="1">
      <c r="A194" s="36"/>
      <c r="B194" s="32" t="s">
        <v>175</v>
      </c>
      <c r="C194" s="22">
        <f>vlookup(B194,'재고 백업'!$A:$B,2,0)</f>
        <v>2</v>
      </c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</row>
    <row r="195" ht="21.0" customHeight="1">
      <c r="A195" s="36"/>
      <c r="B195" s="32" t="s">
        <v>176</v>
      </c>
      <c r="C195" s="22">
        <f>vlookup(B195,'재고 백업'!$A:$B,2,0)</f>
        <v>22</v>
      </c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</row>
    <row r="196" ht="21.0" customHeight="1">
      <c r="A196" s="36"/>
      <c r="B196" s="32" t="s">
        <v>177</v>
      </c>
      <c r="C196" s="22">
        <f>vlookup(B196,'재고 백업'!$A:$B,2,0)</f>
        <v>56</v>
      </c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</row>
    <row r="197" ht="21.0" customHeight="1">
      <c r="A197" s="36"/>
      <c r="B197" s="32" t="s">
        <v>178</v>
      </c>
      <c r="C197" s="22" t="str">
        <f>vlookup(B197,'재고 백업'!$A:$B,2,0)</f>
        <v>-</v>
      </c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</row>
    <row r="198" ht="21.0" customHeight="1">
      <c r="A198" s="36"/>
      <c r="B198" s="32" t="s">
        <v>179</v>
      </c>
      <c r="C198" s="21" t="str">
        <f>vlookup(B198,'재고 백업'!$A:$B,2,0)</f>
        <v>#N/A</v>
      </c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</row>
    <row r="199" ht="21.0" customHeight="1">
      <c r="A199" s="36"/>
      <c r="B199" s="29"/>
      <c r="C199" s="30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</row>
    <row r="200" ht="21.0" customHeight="1">
      <c r="A200" s="36"/>
      <c r="B200" s="42" t="s">
        <v>180</v>
      </c>
      <c r="C200" s="42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</row>
    <row r="201" ht="21.0" customHeight="1">
      <c r="A201" s="36"/>
      <c r="B201" s="32" t="s">
        <v>181</v>
      </c>
      <c r="C201" s="22" t="str">
        <f>vlookup(B201,'재고 백업'!$A:$B,2,0)</f>
        <v>-</v>
      </c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</row>
    <row r="202" ht="21.0" customHeight="1">
      <c r="A202" s="36"/>
      <c r="B202" s="32" t="s">
        <v>182</v>
      </c>
      <c r="C202" s="21" t="str">
        <f>vlookup(B202,'재고 백업'!$A:$B,2,0)</f>
        <v>#N/A</v>
      </c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</row>
    <row r="203" ht="21.0" customHeight="1">
      <c r="A203" s="36"/>
      <c r="B203" s="32" t="s">
        <v>183</v>
      </c>
      <c r="C203" s="22">
        <f>vlookup(B203,'재고 백업'!$A:$B,2,0)</f>
        <v>106</v>
      </c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</row>
    <row r="204" ht="21.0" customHeight="1">
      <c r="A204" s="36"/>
      <c r="B204" s="32" t="s">
        <v>184</v>
      </c>
      <c r="C204" s="22">
        <f>vlookup(B204,'재고 백업'!$A:$B,2,0)</f>
        <v>146</v>
      </c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</row>
    <row r="205" ht="21.0" customHeight="1">
      <c r="A205" s="36"/>
      <c r="B205" s="32" t="s">
        <v>185</v>
      </c>
      <c r="C205" s="22">
        <f>vlookup(B205,'재고 백업'!$A:$B,2,0)</f>
        <v>22</v>
      </c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</row>
    <row r="206" ht="21.0" customHeight="1">
      <c r="A206" s="36"/>
      <c r="B206" s="32" t="s">
        <v>186</v>
      </c>
      <c r="C206" s="22" t="str">
        <f>vlookup(B206,'재고 백업'!$A:$B,2,0)</f>
        <v>-</v>
      </c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</row>
    <row r="207" ht="21.0" customHeight="1">
      <c r="A207" s="36"/>
      <c r="B207" s="32" t="s">
        <v>187</v>
      </c>
      <c r="C207" s="22" t="str">
        <f>vlookup(B207,'재고 백업'!$A:$B,2,0)</f>
        <v>-</v>
      </c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</row>
    <row r="208" ht="21.0" customHeight="1">
      <c r="A208" s="36"/>
      <c r="B208" s="32" t="s">
        <v>188</v>
      </c>
      <c r="C208" s="22">
        <f>vlookup(B208,'재고 백업'!$A:$B,2,0)</f>
        <v>49</v>
      </c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</row>
    <row r="209" ht="21.0" customHeight="1">
      <c r="A209" s="36"/>
      <c r="B209" s="32" t="s">
        <v>189</v>
      </c>
      <c r="C209" s="22">
        <f>vlookup(B209,'재고 백업'!$A:$B,2,0)</f>
        <v>22</v>
      </c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</row>
    <row r="210" ht="21.0" customHeight="1">
      <c r="A210" s="36"/>
      <c r="B210" s="32" t="s">
        <v>190</v>
      </c>
      <c r="C210" s="22">
        <f>vlookup(B210,'재고 백업'!$A:$B,2,0)</f>
        <v>51</v>
      </c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</row>
    <row r="211" ht="21.0" customHeight="1">
      <c r="A211" s="36"/>
      <c r="B211" s="32" t="s">
        <v>191</v>
      </c>
      <c r="C211" s="22">
        <f>vlookup(B211,'재고 백업'!$A:$B,2,0)</f>
        <v>93</v>
      </c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</row>
    <row r="212" ht="21.0" customHeight="1">
      <c r="A212" s="36"/>
      <c r="B212" s="32" t="s">
        <v>192</v>
      </c>
      <c r="C212" s="22">
        <f>vlookup(B212,'재고 백업'!$A:$B,2,0)</f>
        <v>18</v>
      </c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</row>
    <row r="213" ht="21.0" customHeight="1">
      <c r="A213" s="36"/>
      <c r="B213" s="32" t="s">
        <v>193</v>
      </c>
      <c r="C213" s="22">
        <f>vlookup(B213,'재고 백업'!$A:$B,2,0)</f>
        <v>13</v>
      </c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</row>
    <row r="214" ht="21.0" customHeight="1">
      <c r="A214" s="36"/>
      <c r="B214" s="32" t="s">
        <v>194</v>
      </c>
      <c r="C214" s="22">
        <f>vlookup(B214,'재고 백업'!$A:$B,2,0)</f>
        <v>49</v>
      </c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</row>
    <row r="215" ht="21.0" customHeight="1">
      <c r="A215" s="36"/>
      <c r="B215" s="32" t="s">
        <v>195</v>
      </c>
      <c r="C215" s="22">
        <f>vlookup(B215,'재고 백업'!$A:$B,2,0)</f>
        <v>90</v>
      </c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</row>
    <row r="216" ht="21.0" customHeight="1">
      <c r="A216" s="36"/>
      <c r="B216" s="32" t="s">
        <v>196</v>
      </c>
      <c r="C216" s="22">
        <f>vlookup(B216,'재고 백업'!$A:$B,2,0)</f>
        <v>112</v>
      </c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</row>
    <row r="217" ht="21.0" customHeight="1">
      <c r="A217" s="36"/>
      <c r="B217" s="32" t="s">
        <v>197</v>
      </c>
      <c r="C217" s="22" t="str">
        <f>vlookup(B217,'재고 백업'!$A:$B,2,0)</f>
        <v>-</v>
      </c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</row>
    <row r="218" ht="21.0" customHeight="1">
      <c r="A218" s="36"/>
      <c r="B218" s="32" t="s">
        <v>198</v>
      </c>
      <c r="C218" s="22">
        <f>vlookup(B218,'재고 백업'!$A:$B,2,0)</f>
        <v>3</v>
      </c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</row>
    <row r="219" ht="21.0" customHeight="1">
      <c r="A219" s="36"/>
      <c r="B219" s="32" t="s">
        <v>199</v>
      </c>
      <c r="C219" s="22">
        <f>vlookup(B219,'재고 백업'!$A:$B,2,0)</f>
        <v>94</v>
      </c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</row>
    <row r="220" ht="21.0" customHeight="1">
      <c r="A220" s="36"/>
      <c r="B220" s="32" t="s">
        <v>200</v>
      </c>
      <c r="C220" s="22">
        <f>vlookup(B220,'재고 백업'!$A:$B,2,0)</f>
        <v>27</v>
      </c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</row>
    <row r="221" ht="21.0" customHeight="1">
      <c r="A221" s="36"/>
      <c r="B221" s="29"/>
      <c r="C221" s="30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</row>
    <row r="222" ht="21.0" customHeight="1">
      <c r="A222" s="36"/>
      <c r="B222" s="43" t="s">
        <v>201</v>
      </c>
      <c r="C222" s="43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</row>
    <row r="223" ht="21.0" customHeight="1">
      <c r="A223" s="36"/>
      <c r="B223" s="21" t="s">
        <v>202</v>
      </c>
      <c r="C223" s="22">
        <f>vlookup(B223,'재고 백업'!$A:$B,2,0)</f>
        <v>219</v>
      </c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</row>
    <row r="224" ht="21.0" customHeight="1">
      <c r="A224" s="36"/>
      <c r="B224" s="21" t="s">
        <v>203</v>
      </c>
      <c r="C224" s="22">
        <f>vlookup(B224,'재고 백업'!$A:$B,2,0)</f>
        <v>34</v>
      </c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</row>
    <row r="225" ht="21.0" customHeight="1">
      <c r="A225" s="36"/>
      <c r="B225" s="21" t="s">
        <v>204</v>
      </c>
      <c r="C225" s="22">
        <f>vlookup(B225,'재고 백업'!$A:$B,2,0)</f>
        <v>47</v>
      </c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</row>
    <row r="226" ht="21.0" customHeight="1">
      <c r="A226" s="36"/>
      <c r="B226" s="21" t="s">
        <v>205</v>
      </c>
      <c r="C226" s="22">
        <f>vlookup(B226,'재고 백업'!$A:$B,2,0)</f>
        <v>19</v>
      </c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</row>
    <row r="227" ht="21.0" customHeight="1">
      <c r="A227" s="36"/>
      <c r="B227" s="44"/>
      <c r="C227" s="3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</row>
    <row r="228" ht="21.0" customHeight="1">
      <c r="A228" s="36"/>
      <c r="B228" s="28" t="s">
        <v>206</v>
      </c>
      <c r="C228" s="28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</row>
    <row r="229" ht="21.0" customHeight="1">
      <c r="A229" s="36"/>
      <c r="B229" s="21" t="s">
        <v>207</v>
      </c>
      <c r="C229" s="22">
        <f>vlookup(B229,'재고 백업'!$A:$B,2,0)</f>
        <v>3</v>
      </c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</row>
    <row r="230" ht="21.0" customHeight="1">
      <c r="A230" s="36"/>
      <c r="B230" s="21" t="s">
        <v>208</v>
      </c>
      <c r="C230" s="22" t="str">
        <f>vlookup(B230,'재고 백업'!$A:$B,2,0)</f>
        <v>-</v>
      </c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</row>
    <row r="231" ht="21.0" customHeight="1">
      <c r="A231" s="36"/>
      <c r="B231" s="29"/>
      <c r="C231" s="3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</row>
    <row r="232" ht="21.0" customHeight="1">
      <c r="A232" s="36"/>
      <c r="B232" s="41" t="s">
        <v>209</v>
      </c>
      <c r="C232" s="41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5"/>
      <c r="BT232" s="45"/>
      <c r="BU232" s="45"/>
      <c r="BV232" s="45"/>
      <c r="BW232" s="45"/>
    </row>
    <row r="233" ht="21.0" customHeight="1">
      <c r="A233" s="36"/>
      <c r="B233" s="32" t="s">
        <v>210</v>
      </c>
      <c r="C233" s="22">
        <f>vlookup(B233,'재고 백업'!$A:$B,2,0)</f>
        <v>193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  <c r="BQ233" s="45"/>
      <c r="BR233" s="45"/>
      <c r="BS233" s="45"/>
      <c r="BT233" s="45"/>
      <c r="BU233" s="45"/>
      <c r="BV233" s="45"/>
      <c r="BW233" s="45"/>
    </row>
    <row r="234" ht="21.0" customHeight="1">
      <c r="A234" s="36"/>
      <c r="B234" s="32" t="s">
        <v>211</v>
      </c>
      <c r="C234" s="22" t="str">
        <f>vlookup(B234,'재고 백업'!$A:$B,2,0)</f>
        <v>-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</row>
    <row r="235" ht="21.0" customHeight="1">
      <c r="A235" s="36"/>
      <c r="B235" s="32" t="s">
        <v>212</v>
      </c>
      <c r="C235" s="22">
        <f>vlookup(B235,'재고 백업'!$A:$B,2,0)</f>
        <v>678</v>
      </c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</row>
    <row r="236" ht="21.0" customHeight="1">
      <c r="A236" s="36"/>
      <c r="B236" s="32" t="s">
        <v>213</v>
      </c>
      <c r="C236" s="22">
        <f>vlookup(B236,'재고 백업'!$A:$B,2,0)</f>
        <v>345</v>
      </c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</row>
    <row r="237" ht="21.0" customHeight="1">
      <c r="A237" s="36"/>
      <c r="B237" s="32" t="s">
        <v>214</v>
      </c>
      <c r="C237" s="22">
        <f>vlookup(B237,'재고 백업'!$A:$B,2,0)</f>
        <v>690</v>
      </c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</row>
    <row r="238" ht="21.0" customHeight="1">
      <c r="A238" s="36"/>
      <c r="B238" s="32" t="s">
        <v>215</v>
      </c>
      <c r="C238" s="22">
        <f>vlookup(B238,'재고 백업'!$A:$B,2,0)</f>
        <v>8</v>
      </c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</row>
    <row r="239" ht="21.0" customHeight="1">
      <c r="A239" s="36"/>
      <c r="B239" s="32" t="s">
        <v>216</v>
      </c>
      <c r="C239" s="22">
        <f>vlookup(B239,'재고 백업'!$A:$B,2,0)</f>
        <v>318</v>
      </c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</row>
    <row r="240" ht="21.0" customHeight="1">
      <c r="A240" s="36"/>
      <c r="B240" s="32" t="s">
        <v>217</v>
      </c>
      <c r="C240" s="22" t="str">
        <f>vlookup(B240,'재고 백업'!$A:$B,2,0)</f>
        <v>-</v>
      </c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</row>
    <row r="241" ht="21.0" customHeight="1">
      <c r="A241" s="36"/>
      <c r="B241" s="32" t="s">
        <v>218</v>
      </c>
      <c r="C241" s="22">
        <f>vlookup(B241,'재고 백업'!$A:$B,2,0)</f>
        <v>474</v>
      </c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</row>
    <row r="242" ht="21.0" customHeight="1">
      <c r="A242" s="36"/>
      <c r="B242" s="32" t="s">
        <v>219</v>
      </c>
      <c r="C242" s="22">
        <f>vlookup(B242,'재고 백업'!$A:$B,2,0)</f>
        <v>161</v>
      </c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</row>
    <row r="243" ht="21.0" customHeight="1">
      <c r="A243" s="36"/>
      <c r="B243" s="32" t="s">
        <v>220</v>
      </c>
      <c r="C243" s="22" t="str">
        <f>vlookup(B243,'재고 백업'!$A:$B,2,0)</f>
        <v>-</v>
      </c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</row>
    <row r="244" ht="21.0" customHeight="1">
      <c r="A244" s="36"/>
      <c r="B244" s="32" t="s">
        <v>221</v>
      </c>
      <c r="C244" s="22">
        <f>vlookup(B244,'재고 백업'!$A:$B,2,0)</f>
        <v>164</v>
      </c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</row>
    <row r="245" ht="21.0" customHeight="1">
      <c r="A245" s="36"/>
      <c r="B245" s="32" t="s">
        <v>222</v>
      </c>
      <c r="C245" s="22" t="str">
        <f>vlookup(B245,'재고 백업'!$A:$B,2,0)</f>
        <v>-</v>
      </c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</row>
    <row r="246" ht="21.0" customHeight="1">
      <c r="A246" s="36"/>
      <c r="B246" s="32" t="s">
        <v>223</v>
      </c>
      <c r="C246" s="22">
        <f>vlookup(B246,'재고 백업'!$A:$B,2,0)</f>
        <v>173</v>
      </c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</row>
    <row r="247" ht="21.0" customHeight="1">
      <c r="A247" s="36"/>
      <c r="B247" s="32" t="s">
        <v>224</v>
      </c>
      <c r="C247" s="22" t="str">
        <f>vlookup(B247,'재고 백업'!$A:$B,2,0)</f>
        <v>-</v>
      </c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</row>
    <row r="248" ht="21.0" customHeight="1">
      <c r="A248" s="36"/>
      <c r="B248" s="32" t="s">
        <v>225</v>
      </c>
      <c r="C248" s="22">
        <f>vlookup(B248,'재고 백업'!$A:$B,2,0)</f>
        <v>150</v>
      </c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</row>
    <row r="249" ht="21.0" customHeight="1">
      <c r="A249" s="36"/>
      <c r="B249" s="32" t="s">
        <v>226</v>
      </c>
      <c r="C249" s="22" t="str">
        <f>vlookup(B249,'재고 백업'!$A:$B,2,0)</f>
        <v>-</v>
      </c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</row>
    <row r="250" ht="21.0" customHeight="1">
      <c r="A250" s="36"/>
      <c r="B250" s="32" t="s">
        <v>227</v>
      </c>
      <c r="C250" s="22">
        <f>vlookup(B250,'재고 백업'!$A:$B,2,0)</f>
        <v>190</v>
      </c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</row>
    <row r="251" ht="21.0" customHeight="1">
      <c r="A251" s="36"/>
      <c r="B251" s="32" t="s">
        <v>228</v>
      </c>
      <c r="C251" s="22" t="str">
        <f>vlookup(B251,'재고 백업'!$A:$B,2,0)</f>
        <v>-</v>
      </c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</row>
    <row r="252" ht="21.0" customHeight="1">
      <c r="A252" s="36"/>
      <c r="B252" s="32" t="s">
        <v>229</v>
      </c>
      <c r="C252" s="22">
        <f>vlookup(B252,'재고 백업'!$A:$B,2,0)</f>
        <v>180</v>
      </c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</row>
    <row r="253" ht="21.0" customHeight="1">
      <c r="A253" s="36"/>
      <c r="B253" s="32" t="s">
        <v>230</v>
      </c>
      <c r="C253" s="22">
        <f>vlookup(B253,'재고 백업'!$A:$B,2,0)</f>
        <v>569</v>
      </c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</row>
    <row r="254" ht="21.0" customHeight="1">
      <c r="A254" s="36"/>
      <c r="B254" s="32" t="s">
        <v>231</v>
      </c>
      <c r="C254" s="22" t="str">
        <f>vlookup(B254,'재고 백업'!$A:$B,2,0)</f>
        <v>-</v>
      </c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</row>
    <row r="255" ht="21.0" customHeight="1">
      <c r="A255" s="36"/>
      <c r="B255" s="32" t="s">
        <v>232</v>
      </c>
      <c r="C255" s="22">
        <f>vlookup(B255,'재고 백업'!$A:$B,2,0)</f>
        <v>278</v>
      </c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</row>
    <row r="256" ht="21.0" customHeight="1">
      <c r="A256" s="36"/>
      <c r="B256" s="32" t="s">
        <v>233</v>
      </c>
      <c r="C256" s="22" t="str">
        <f>vlookup(B256,'재고 백업'!$A:$B,2,0)</f>
        <v>-</v>
      </c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</row>
    <row r="257" ht="21.0" customHeight="1">
      <c r="A257" s="36"/>
      <c r="B257" s="32" t="s">
        <v>234</v>
      </c>
      <c r="C257" s="22" t="str">
        <f>vlookup(B257,'재고 백업'!$A:$B,2,0)</f>
        <v>-</v>
      </c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</row>
    <row r="258" ht="21.0" customHeight="1">
      <c r="A258" s="36"/>
      <c r="B258" s="32" t="s">
        <v>235</v>
      </c>
      <c r="C258" s="22">
        <f>vlookup(B258,'재고 백업'!$A:$B,2,0)</f>
        <v>1550</v>
      </c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</row>
    <row r="259" ht="21.0" customHeight="1">
      <c r="A259" s="36"/>
      <c r="B259" s="32" t="s">
        <v>236</v>
      </c>
      <c r="C259" s="22" t="str">
        <f>vlookup(B259,'재고 백업'!$A:$B,2,0)</f>
        <v>-</v>
      </c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</row>
    <row r="260" ht="21.0" customHeight="1">
      <c r="A260" s="36"/>
      <c r="B260" s="32" t="s">
        <v>237</v>
      </c>
      <c r="C260" s="22" t="str">
        <f>vlookup(B260,'재고 백업'!$A:$B,2,0)</f>
        <v>-</v>
      </c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</row>
    <row r="261" ht="21.0" customHeight="1">
      <c r="A261" s="36"/>
      <c r="B261" s="32" t="s">
        <v>238</v>
      </c>
      <c r="C261" s="22" t="str">
        <f>vlookup(B261,'재고 백업'!$A:$B,2,0)</f>
        <v>-</v>
      </c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</row>
    <row r="262" ht="21.0" customHeight="1">
      <c r="A262" s="36"/>
      <c r="B262" s="32" t="s">
        <v>239</v>
      </c>
      <c r="C262" s="22">
        <f>vlookup(B262,'재고 백업'!$A:$B,2,0)</f>
        <v>570</v>
      </c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</row>
    <row r="263" ht="21.0" customHeight="1">
      <c r="A263" s="36"/>
      <c r="B263" s="32" t="s">
        <v>240</v>
      </c>
      <c r="C263" s="22" t="str">
        <f>vlookup(B263,'재고 백업'!$A:$B,2,0)</f>
        <v>-</v>
      </c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</row>
    <row r="264" ht="21.0" customHeight="1">
      <c r="A264" s="36"/>
      <c r="B264" s="32" t="s">
        <v>241</v>
      </c>
      <c r="C264" s="22">
        <f>vlookup(B264,'재고 백업'!$A:$B,2,0)</f>
        <v>247</v>
      </c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</row>
    <row r="265" ht="21.0" customHeight="1">
      <c r="A265" s="36"/>
      <c r="B265" s="32" t="s">
        <v>242</v>
      </c>
      <c r="C265" s="22" t="str">
        <f>vlookup(B265,'재고 백업'!$A:$B,2,0)</f>
        <v>-</v>
      </c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</row>
    <row r="266" ht="21.0" customHeight="1">
      <c r="A266" s="36"/>
      <c r="B266" s="32" t="s">
        <v>243</v>
      </c>
      <c r="C266" s="22">
        <f>vlookup(B266,'재고 백업'!$A:$B,2,0)</f>
        <v>60</v>
      </c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</row>
    <row r="267" ht="21.0" customHeight="1">
      <c r="A267" s="36"/>
      <c r="B267" s="32" t="s">
        <v>244</v>
      </c>
      <c r="C267" s="22">
        <f>vlookup(B267,'재고 백업'!$A:$B,2,0)</f>
        <v>26</v>
      </c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</row>
    <row r="268" ht="21.0" customHeight="1">
      <c r="A268" s="36"/>
      <c r="B268" s="29"/>
      <c r="C268" s="30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</row>
    <row r="269" ht="21.0" customHeight="1">
      <c r="A269" s="36"/>
      <c r="B269" s="31" t="s">
        <v>245</v>
      </c>
      <c r="C269" s="31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</row>
    <row r="270" ht="21.0" customHeight="1">
      <c r="A270" s="36"/>
      <c r="B270" s="32" t="s">
        <v>246</v>
      </c>
      <c r="C270" s="22">
        <f>vlookup(B270,'재고 백업'!$A:$B,2,0)</f>
        <v>63</v>
      </c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</row>
    <row r="271" ht="21.0" customHeight="1">
      <c r="A271" s="36"/>
      <c r="B271" s="32" t="s">
        <v>247</v>
      </c>
      <c r="C271" s="22">
        <f>vlookup(B271,'재고 백업'!$A:$B,2,0)</f>
        <v>154</v>
      </c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</row>
    <row r="272" ht="21.0" customHeight="1">
      <c r="A272" s="36"/>
      <c r="B272" s="32" t="s">
        <v>248</v>
      </c>
      <c r="C272" s="22">
        <f>vlookup(B272,'재고 백업'!$A:$B,2,0)</f>
        <v>84</v>
      </c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</row>
    <row r="273" ht="21.0" customHeight="1">
      <c r="A273" s="36"/>
      <c r="B273" s="32" t="s">
        <v>249</v>
      </c>
      <c r="C273" s="22">
        <f>vlookup(B273,'재고 백업'!$A:$B,2,0)</f>
        <v>29</v>
      </c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</row>
    <row r="274" ht="21.0" customHeight="1">
      <c r="A274" s="36"/>
      <c r="B274" s="32" t="s">
        <v>250</v>
      </c>
      <c r="C274" s="22">
        <f>vlookup(B274,'재고 백업'!$A:$B,2,0)</f>
        <v>146</v>
      </c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</row>
    <row r="275" ht="21.0" customHeight="1">
      <c r="A275" s="36"/>
      <c r="B275" s="32" t="s">
        <v>251</v>
      </c>
      <c r="C275" s="22">
        <f>vlookup(B275,'재고 백업'!$A:$B,2,0)</f>
        <v>457</v>
      </c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</row>
    <row r="276" ht="21.0" customHeight="1">
      <c r="A276" s="36"/>
      <c r="B276" s="32" t="s">
        <v>252</v>
      </c>
      <c r="C276" s="22">
        <f>vlookup(B276,'재고 백업'!$A:$B,2,0)</f>
        <v>36</v>
      </c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</row>
    <row r="277" ht="21.0" customHeight="1">
      <c r="A277" s="36"/>
      <c r="B277" s="32" t="s">
        <v>253</v>
      </c>
      <c r="C277" s="22">
        <f>vlookup(B277,'재고 백업'!$A:$B,2,0)</f>
        <v>19</v>
      </c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</row>
    <row r="278" ht="21.0" customHeight="1">
      <c r="A278" s="36"/>
      <c r="B278" s="32" t="s">
        <v>254</v>
      </c>
      <c r="C278" s="22">
        <f>vlookup(B278,'재고 백업'!$A:$B,2,0)</f>
        <v>114</v>
      </c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</row>
    <row r="279" ht="21.0" customHeight="1">
      <c r="A279" s="36"/>
      <c r="B279" s="32" t="s">
        <v>255</v>
      </c>
      <c r="C279" s="22">
        <f>vlookup(B279,'재고 백업'!$A:$B,2,0)</f>
        <v>34</v>
      </c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</row>
    <row r="280" ht="21.0" customHeight="1">
      <c r="A280" s="36"/>
      <c r="B280" s="32" t="s">
        <v>256</v>
      </c>
      <c r="C280" s="22">
        <f>vlookup(B280,'재고 백업'!$A:$B,2,0)</f>
        <v>187</v>
      </c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</row>
    <row r="281" ht="21.0" customHeight="1">
      <c r="A281" s="36"/>
      <c r="B281" s="32" t="s">
        <v>257</v>
      </c>
      <c r="C281" s="22">
        <f>vlookup(B281,'재고 백업'!$A:$B,2,0)</f>
        <v>149</v>
      </c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</row>
    <row r="282" ht="21.0" customHeight="1">
      <c r="A282" s="36"/>
      <c r="B282" s="32" t="s">
        <v>258</v>
      </c>
      <c r="C282" s="22" t="str">
        <f>vlookup(B282,'재고 백업'!$A:$B,2,0)</f>
        <v>-</v>
      </c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</row>
    <row r="283" ht="21.0" customHeight="1">
      <c r="A283" s="36"/>
      <c r="B283" s="32" t="s">
        <v>259</v>
      </c>
      <c r="C283" s="22">
        <f>vlookup(B283,'재고 백업'!$A:$B,2,0)</f>
        <v>14</v>
      </c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</row>
    <row r="284" ht="21.0" customHeight="1">
      <c r="A284" s="36"/>
      <c r="B284" s="32" t="s">
        <v>260</v>
      </c>
      <c r="C284" s="22">
        <f>vlookup(B284,'재고 백업'!$A:$B,2,0)</f>
        <v>265</v>
      </c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</row>
    <row r="285" ht="21.0" customHeight="1">
      <c r="A285" s="36"/>
      <c r="B285" s="29"/>
      <c r="C285" s="30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</row>
    <row r="286" ht="21.0" customHeight="1">
      <c r="A286" s="36"/>
      <c r="B286" s="31" t="s">
        <v>261</v>
      </c>
      <c r="C286" s="31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</row>
    <row r="287" ht="21.0" customHeight="1">
      <c r="A287" s="36"/>
      <c r="B287" s="32" t="s">
        <v>262</v>
      </c>
      <c r="C287" s="22" t="str">
        <f>vlookup(B287,'재고 백업'!$A:$B,2,0)</f>
        <v>-</v>
      </c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</row>
    <row r="288" ht="21.0" customHeight="1">
      <c r="A288" s="36"/>
      <c r="B288" s="29"/>
      <c r="C288" s="30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</row>
    <row r="289" ht="21.0" customHeight="1">
      <c r="A289" s="36"/>
      <c r="B289" s="31" t="s">
        <v>263</v>
      </c>
      <c r="C289" s="31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</row>
    <row r="290" ht="21.0" customHeight="1">
      <c r="A290" s="36"/>
      <c r="B290" s="32" t="s">
        <v>264</v>
      </c>
      <c r="C290" s="22">
        <f>vlookup(B290,'재고 백업'!$A:$B,2,0)</f>
        <v>31</v>
      </c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</row>
    <row r="291" ht="21.0" customHeight="1">
      <c r="A291" s="36"/>
      <c r="B291" s="29"/>
      <c r="C291" s="30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</row>
    <row r="292" ht="21.0" customHeight="1">
      <c r="A292" s="36"/>
      <c r="B292" s="31" t="s">
        <v>265</v>
      </c>
      <c r="C292" s="31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</row>
    <row r="293" ht="21.0" customHeight="1">
      <c r="A293" s="36"/>
      <c r="B293" s="26" t="s">
        <v>266</v>
      </c>
      <c r="C293" s="22">
        <f>vlookup(B293,'재고 백업'!$A:$B,2,0)</f>
        <v>183</v>
      </c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</row>
    <row r="294" ht="21.0" customHeight="1">
      <c r="A294" s="36"/>
      <c r="B294" s="26" t="s">
        <v>267</v>
      </c>
      <c r="C294" s="22">
        <f>vlookup(B294,'재고 백업'!$A:$B,2,0)</f>
        <v>653</v>
      </c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</row>
    <row r="295" ht="21.0" customHeight="1">
      <c r="A295" s="36"/>
      <c r="B295" s="26" t="s">
        <v>268</v>
      </c>
      <c r="C295" s="22">
        <f>vlookup(B295,'재고 백업'!$A:$B,2,0)</f>
        <v>176</v>
      </c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</row>
    <row r="296" ht="21.0" customHeight="1">
      <c r="A296" s="36"/>
      <c r="B296" s="26" t="s">
        <v>269</v>
      </c>
      <c r="C296" s="22">
        <f>vlookup(B296,'재고 백업'!$A:$B,2,0)</f>
        <v>581</v>
      </c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</row>
    <row r="297" ht="21.0" customHeight="1">
      <c r="A297" s="36"/>
      <c r="B297" s="26" t="s">
        <v>270</v>
      </c>
      <c r="C297" s="22">
        <f>vlookup(B297,'재고 백업'!$A:$B,2,0)</f>
        <v>180</v>
      </c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</row>
    <row r="298" ht="21.0" customHeight="1">
      <c r="A298" s="36"/>
      <c r="B298" s="26" t="s">
        <v>271</v>
      </c>
      <c r="C298" s="22">
        <f>vlookup(B298,'재고 백업'!$A:$B,2,0)</f>
        <v>120</v>
      </c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</row>
    <row r="299" ht="21.0" customHeight="1">
      <c r="A299" s="36"/>
      <c r="B299" s="26" t="s">
        <v>272</v>
      </c>
      <c r="C299" s="22">
        <f>vlookup(B299,'재고 백업'!$A:$B,2,0)</f>
        <v>21</v>
      </c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</row>
    <row r="300" ht="21.0" customHeight="1">
      <c r="A300" s="36"/>
      <c r="B300" s="26" t="s">
        <v>273</v>
      </c>
      <c r="C300" s="22">
        <f>vlookup(B300,'재고 백업'!$A:$B,2,0)</f>
        <v>45</v>
      </c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</row>
    <row r="301" ht="21.0" customHeight="1">
      <c r="A301" s="36"/>
      <c r="B301" s="26" t="s">
        <v>274</v>
      </c>
      <c r="C301" s="22">
        <f>vlookup(B301,'재고 백업'!$A:$B,2,0)</f>
        <v>513</v>
      </c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</row>
    <row r="302" ht="21.0" customHeight="1">
      <c r="A302" s="36"/>
      <c r="B302" s="26" t="s">
        <v>275</v>
      </c>
      <c r="C302" s="22">
        <f>vlookup(B302,'재고 백업'!$A:$B,2,0)</f>
        <v>188</v>
      </c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</row>
    <row r="303" ht="21.0" customHeight="1">
      <c r="A303" s="36"/>
      <c r="B303" s="26" t="s">
        <v>276</v>
      </c>
      <c r="C303" s="22">
        <f>vlookup(B303,'재고 백업'!$A:$B,2,0)</f>
        <v>2079</v>
      </c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</row>
    <row r="304" ht="21.0" customHeight="1">
      <c r="A304" s="36"/>
      <c r="B304" s="26" t="s">
        <v>277</v>
      </c>
      <c r="C304" s="22">
        <f>vlookup(B304,'재고 백업'!$A:$B,2,0)</f>
        <v>93</v>
      </c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</row>
    <row r="305" ht="21.0" customHeight="1">
      <c r="A305" s="36"/>
      <c r="B305" s="26" t="s">
        <v>278</v>
      </c>
      <c r="C305" s="22">
        <f>vlookup(B305,'재고 백업'!$A:$B,2,0)</f>
        <v>116</v>
      </c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</row>
    <row r="306" ht="21.0" customHeight="1">
      <c r="A306" s="36"/>
      <c r="B306" s="26" t="s">
        <v>279</v>
      </c>
      <c r="C306" s="22">
        <f>vlookup(B306,'재고 백업'!$A:$B,2,0)</f>
        <v>202</v>
      </c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</row>
    <row r="307" ht="21.0" customHeight="1">
      <c r="A307" s="36"/>
      <c r="B307" s="26" t="s">
        <v>280</v>
      </c>
      <c r="C307" s="22">
        <f>vlookup(B307,'재고 백업'!$A:$B,2,0)</f>
        <v>140</v>
      </c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</row>
    <row r="308" ht="21.0" customHeight="1">
      <c r="A308" s="36"/>
      <c r="B308" s="26" t="s">
        <v>281</v>
      </c>
      <c r="C308" s="22">
        <f>vlookup(B308,'재고 백업'!$A:$B,2,0)</f>
        <v>144</v>
      </c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</row>
    <row r="309" ht="21.0" customHeight="1">
      <c r="A309" s="36"/>
      <c r="B309" s="26" t="s">
        <v>282</v>
      </c>
      <c r="C309" s="22">
        <f>vlookup(B309,'재고 백업'!$A:$B,2,0)</f>
        <v>67</v>
      </c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</row>
    <row r="310" ht="21.0" customHeight="1">
      <c r="A310" s="36"/>
      <c r="B310" s="26" t="s">
        <v>283</v>
      </c>
      <c r="C310" s="22" t="str">
        <f>vlookup(B310,'재고 백업'!$A:$B,2,0)</f>
        <v>-</v>
      </c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</row>
    <row r="311" ht="21.0" customHeight="1">
      <c r="A311" s="36"/>
      <c r="B311" s="26" t="s">
        <v>284</v>
      </c>
      <c r="C311" s="22">
        <f>vlookup(B311,'재고 백업'!$A:$B,2,0)</f>
        <v>365</v>
      </c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</row>
    <row r="312" ht="21.0" customHeight="1">
      <c r="A312" s="36"/>
      <c r="B312" s="26" t="s">
        <v>285</v>
      </c>
      <c r="C312" s="22" t="str">
        <f>vlookup(B312,'재고 백업'!$A:$B,2,0)</f>
        <v>-</v>
      </c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</row>
    <row r="313" ht="21.0" customHeight="1">
      <c r="A313" s="36"/>
      <c r="B313" s="26" t="s">
        <v>286</v>
      </c>
      <c r="C313" s="22">
        <f>vlookup(B313,'재고 백업'!$A:$B,2,0)</f>
        <v>95</v>
      </c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</row>
    <row r="314" ht="21.0" customHeight="1">
      <c r="A314" s="36"/>
      <c r="B314" s="26" t="s">
        <v>287</v>
      </c>
      <c r="C314" s="22">
        <f>vlookup(B314,'재고 백업'!$A:$B,2,0)</f>
        <v>873</v>
      </c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  <c r="BW314" s="40"/>
    </row>
    <row r="315" ht="21.0" customHeight="1">
      <c r="A315" s="36"/>
      <c r="B315" s="26" t="s">
        <v>288</v>
      </c>
      <c r="C315" s="22">
        <f>vlookup(B315,'재고 백업'!$A:$B,2,0)</f>
        <v>101</v>
      </c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</row>
    <row r="316" ht="21.0" customHeight="1">
      <c r="A316" s="36"/>
      <c r="B316" s="26" t="s">
        <v>289</v>
      </c>
      <c r="C316" s="22">
        <f>vlookup(B316,'재고 백업'!$A:$B,2,0)</f>
        <v>1369</v>
      </c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</row>
    <row r="317" ht="21.0" customHeight="1">
      <c r="A317" s="36"/>
      <c r="B317" s="26" t="s">
        <v>290</v>
      </c>
      <c r="C317" s="22">
        <f>vlookup(B317,'재고 백업'!$A:$B,2,0)</f>
        <v>456</v>
      </c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</row>
    <row r="318" ht="21.0" customHeight="1">
      <c r="A318" s="36"/>
      <c r="B318" s="26" t="s">
        <v>291</v>
      </c>
      <c r="C318" s="22">
        <f>vlookup(B318,'재고 백업'!$A:$B,2,0)</f>
        <v>129</v>
      </c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</row>
    <row r="319" ht="21.0" customHeight="1">
      <c r="A319" s="36"/>
      <c r="B319" s="26" t="s">
        <v>292</v>
      </c>
      <c r="C319" s="22">
        <f>vlookup(B319,'재고 백업'!$A:$B,2,0)</f>
        <v>44</v>
      </c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  <c r="BW319" s="40"/>
    </row>
    <row r="320" ht="21.0" customHeight="1">
      <c r="A320" s="36"/>
      <c r="B320" s="26" t="s">
        <v>293</v>
      </c>
      <c r="C320" s="22">
        <f>vlookup(B320,'재고 백업'!$A:$B,2,0)</f>
        <v>35</v>
      </c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  <c r="BW320" s="40"/>
    </row>
    <row r="321" ht="21.0" customHeight="1">
      <c r="A321" s="36"/>
      <c r="B321" s="26" t="s">
        <v>294</v>
      </c>
      <c r="C321" s="22">
        <f>vlookup(B321,'재고 백업'!$A:$B,2,0)</f>
        <v>70</v>
      </c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  <c r="BW321" s="40"/>
    </row>
    <row r="322" ht="21.0" customHeight="1">
      <c r="A322" s="36"/>
      <c r="B322" s="26" t="s">
        <v>295</v>
      </c>
      <c r="C322" s="22">
        <f>vlookup(B322,'재고 백업'!$A:$B,2,0)</f>
        <v>548</v>
      </c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  <c r="BW322" s="40"/>
    </row>
    <row r="323" ht="21.0" customHeight="1">
      <c r="A323" s="36"/>
      <c r="B323" s="26" t="s">
        <v>296</v>
      </c>
      <c r="C323" s="22">
        <f>vlookup(B323,'재고 백업'!$A:$B,2,0)</f>
        <v>86</v>
      </c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  <c r="BW323" s="40"/>
    </row>
    <row r="324" ht="21.0" customHeight="1">
      <c r="A324" s="36"/>
      <c r="B324" s="26" t="s">
        <v>297</v>
      </c>
      <c r="C324" s="22">
        <f>vlookup(B324,'재고 백업'!$A:$B,2,0)</f>
        <v>881</v>
      </c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  <c r="BW324" s="40"/>
    </row>
    <row r="325" ht="21.0" customHeight="1">
      <c r="A325" s="36"/>
      <c r="B325" s="26" t="s">
        <v>298</v>
      </c>
      <c r="C325" s="22">
        <f>vlookup(B325,'재고 백업'!$A:$B,2,0)</f>
        <v>4</v>
      </c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</row>
    <row r="326" ht="21.0" customHeight="1">
      <c r="A326" s="36"/>
      <c r="B326" s="26" t="s">
        <v>299</v>
      </c>
      <c r="C326" s="22">
        <f>vlookup(B326,'재고 백업'!$A:$B,2,0)</f>
        <v>1746</v>
      </c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</row>
    <row r="327" ht="21.0" customHeight="1">
      <c r="A327" s="36"/>
      <c r="B327" s="26" t="s">
        <v>300</v>
      </c>
      <c r="C327" s="22">
        <f>vlookup(B327,'재고 백업'!$A:$B,2,0)</f>
        <v>264</v>
      </c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</row>
    <row r="328" ht="21.0" customHeight="1">
      <c r="A328" s="36"/>
      <c r="B328" s="26" t="s">
        <v>301</v>
      </c>
      <c r="C328" s="22">
        <f>vlookup(B328,'재고 백업'!$A:$B,2,0)</f>
        <v>188</v>
      </c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  <c r="BW328" s="40"/>
    </row>
    <row r="329" ht="21.0" customHeight="1">
      <c r="A329" s="36"/>
      <c r="B329" s="26" t="s">
        <v>302</v>
      </c>
      <c r="C329" s="22" t="str">
        <f>vlookup(B329,'재고 백업'!$A:$B,2,0)</f>
        <v>-</v>
      </c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  <c r="BW329" s="40"/>
    </row>
    <row r="330" ht="21.0" customHeight="1">
      <c r="A330" s="36"/>
      <c r="B330" s="26" t="s">
        <v>303</v>
      </c>
      <c r="C330" s="22">
        <f>vlookup(B330,'재고 백업'!$A:$B,2,0)</f>
        <v>23</v>
      </c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  <c r="BW330" s="40"/>
    </row>
    <row r="331" ht="21.0" customHeight="1">
      <c r="A331" s="36"/>
      <c r="B331" s="26" t="s">
        <v>304</v>
      </c>
      <c r="C331" s="22">
        <f>vlookup(B331,'재고 백업'!$A:$B,2,0)</f>
        <v>299</v>
      </c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  <c r="BW331" s="40"/>
    </row>
    <row r="332" ht="21.0" customHeight="1">
      <c r="A332" s="36"/>
      <c r="B332" s="26" t="s">
        <v>305</v>
      </c>
      <c r="C332" s="22">
        <f>vlookup(B332,'재고 백업'!$A:$B,2,0)</f>
        <v>37</v>
      </c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0"/>
    </row>
    <row r="333" ht="21.0" customHeight="1">
      <c r="A333" s="36"/>
      <c r="B333" s="26" t="s">
        <v>306</v>
      </c>
      <c r="C333" s="22">
        <f>vlookup(B333,'재고 백업'!$A:$B,2,0)</f>
        <v>154</v>
      </c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  <c r="BW333" s="40"/>
    </row>
    <row r="334" ht="21.0" customHeight="1">
      <c r="A334" s="36"/>
      <c r="B334" s="26" t="s">
        <v>307</v>
      </c>
      <c r="C334" s="22">
        <f>vlookup(B334,'재고 백업'!$A:$B,2,0)</f>
        <v>63</v>
      </c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  <c r="BW334" s="40"/>
    </row>
    <row r="335" ht="21.0" customHeight="1">
      <c r="A335" s="36"/>
      <c r="B335" s="26" t="s">
        <v>308</v>
      </c>
      <c r="C335" s="22">
        <f>vlookup(B335,'재고 백업'!$A:$B,2,0)</f>
        <v>36</v>
      </c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</row>
    <row r="336" ht="21.0" customHeight="1">
      <c r="A336" s="36"/>
      <c r="B336" s="26" t="s">
        <v>309</v>
      </c>
      <c r="C336" s="22">
        <f>vlookup(B336,'재고 백업'!$A:$B,2,0)</f>
        <v>29</v>
      </c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  <c r="BW336" s="40"/>
    </row>
    <row r="337" ht="21.0" customHeight="1">
      <c r="A337" s="36"/>
      <c r="B337" s="26" t="s">
        <v>310</v>
      </c>
      <c r="C337" s="22" t="str">
        <f>vlookup(B337,'재고 백업'!$A:$B,2,0)</f>
        <v>-</v>
      </c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  <c r="BW337" s="40"/>
    </row>
    <row r="338" ht="21.0" customHeight="1">
      <c r="A338" s="36"/>
      <c r="B338" s="26" t="s">
        <v>311</v>
      </c>
      <c r="C338" s="22">
        <f>vlookup(B338,'재고 백업'!$A:$B,2,0)</f>
        <v>23</v>
      </c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  <c r="BW338" s="40"/>
    </row>
    <row r="339" ht="21.0" customHeight="1">
      <c r="A339" s="36"/>
      <c r="B339" s="26" t="s">
        <v>312</v>
      </c>
      <c r="C339" s="22" t="str">
        <f>vlookup(B339,'재고 백업'!$A:$B,2,0)</f>
        <v>-</v>
      </c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0"/>
    </row>
    <row r="340" ht="20.25" customHeight="1">
      <c r="A340" s="36"/>
      <c r="B340" s="26" t="s">
        <v>313</v>
      </c>
      <c r="C340" s="22">
        <f>vlookup(B340,'재고 백업'!$A:$B,2,0)</f>
        <v>491</v>
      </c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  <c r="BW340" s="40"/>
    </row>
    <row r="341" ht="21.0" customHeight="1">
      <c r="A341" s="36"/>
      <c r="B341" s="26" t="s">
        <v>314</v>
      </c>
      <c r="C341" s="22">
        <f>vlookup(B341,'재고 백업'!$A:$B,2,0)</f>
        <v>313</v>
      </c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  <c r="BW341" s="40"/>
    </row>
    <row r="342" ht="21.0" customHeight="1">
      <c r="A342" s="36"/>
      <c r="B342" s="26" t="s">
        <v>315</v>
      </c>
      <c r="C342" s="22">
        <f>vlookup(B342,'재고 백업'!$A:$B,2,0)</f>
        <v>828</v>
      </c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  <c r="BW342" s="40"/>
    </row>
    <row r="343" ht="21.0" customHeight="1">
      <c r="A343" s="36"/>
      <c r="B343" s="26" t="s">
        <v>316</v>
      </c>
      <c r="C343" s="22" t="str">
        <f>vlookup(B343,'재고 백업'!$A:$B,2,0)</f>
        <v>-</v>
      </c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  <c r="BW343" s="40"/>
    </row>
    <row r="344" ht="21.0" customHeight="1">
      <c r="A344" s="36"/>
      <c r="B344" s="26" t="s">
        <v>317</v>
      </c>
      <c r="C344" s="22">
        <f>vlookup(B344,'재고 백업'!$A:$B,2,0)</f>
        <v>6</v>
      </c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  <c r="BW344" s="40"/>
    </row>
    <row r="345" ht="21.0" customHeight="1">
      <c r="A345" s="36"/>
      <c r="B345" s="26" t="s">
        <v>318</v>
      </c>
      <c r="C345" s="22">
        <f>vlookup(B345,'재고 백업'!$A:$B,2,0)</f>
        <v>98</v>
      </c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  <c r="BW345" s="40"/>
    </row>
    <row r="346" ht="21.0" customHeight="1">
      <c r="A346" s="36"/>
      <c r="B346" s="26" t="s">
        <v>319</v>
      </c>
      <c r="C346" s="22">
        <f>vlookup(B346,'재고 백업'!$A:$B,2,0)</f>
        <v>29</v>
      </c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  <c r="BW346" s="40"/>
    </row>
    <row r="347" ht="21.0" customHeight="1">
      <c r="A347" s="36"/>
      <c r="B347" s="26" t="s">
        <v>320</v>
      </c>
      <c r="C347" s="22">
        <f>vlookup(B347,'재고 백업'!$A:$B,2,0)</f>
        <v>4</v>
      </c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  <c r="BW347" s="40"/>
    </row>
    <row r="348" ht="21.0" customHeight="1">
      <c r="A348" s="36"/>
      <c r="B348" s="26" t="s">
        <v>321</v>
      </c>
      <c r="C348" s="22">
        <f>vlookup(B348,'재고 백업'!$A:$B,2,0)</f>
        <v>93</v>
      </c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  <c r="BW348" s="40"/>
    </row>
    <row r="349" ht="21.0" customHeight="1">
      <c r="A349" s="36"/>
      <c r="B349" s="26" t="s">
        <v>322</v>
      </c>
      <c r="C349" s="22">
        <f>vlookup(B349,'재고 백업'!$A:$B,2,0)</f>
        <v>73</v>
      </c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  <c r="BW349" s="40"/>
    </row>
    <row r="350" ht="21.0" customHeight="1">
      <c r="A350" s="36"/>
      <c r="B350" s="26" t="s">
        <v>323</v>
      </c>
      <c r="C350" s="22">
        <f>vlookup(B350,'재고 백업'!$A:$B,2,0)</f>
        <v>30</v>
      </c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  <c r="BW350" s="40"/>
    </row>
    <row r="351" ht="21.0" customHeight="1">
      <c r="A351" s="36"/>
      <c r="B351" s="26" t="s">
        <v>324</v>
      </c>
      <c r="C351" s="22">
        <f>vlookup(B351,'재고 백업'!$A:$B,2,0)</f>
        <v>94</v>
      </c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  <c r="BW351" s="40"/>
    </row>
    <row r="352" ht="21.0" customHeight="1">
      <c r="A352" s="36"/>
      <c r="B352" s="26" t="s">
        <v>325</v>
      </c>
      <c r="C352" s="22">
        <f>vlookup(B352,'재고 백업'!$A:$B,2,0)</f>
        <v>677</v>
      </c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  <c r="BW352" s="40"/>
    </row>
    <row r="353" ht="21.0" customHeight="1">
      <c r="A353" s="36"/>
      <c r="B353" s="26" t="s">
        <v>326</v>
      </c>
      <c r="C353" s="22">
        <f>vlookup(B353,'재고 백업'!$A:$B,2,0)</f>
        <v>175</v>
      </c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  <c r="BW353" s="40"/>
    </row>
    <row r="354" ht="21.0" customHeight="1">
      <c r="A354" s="36"/>
      <c r="B354" s="26" t="s">
        <v>327</v>
      </c>
      <c r="C354" s="22">
        <f>vlookup(B354,'재고 백업'!$A:$B,2,0)</f>
        <v>140</v>
      </c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  <c r="BW354" s="40"/>
    </row>
    <row r="355" ht="21.0" customHeight="1">
      <c r="A355" s="36"/>
      <c r="B355" s="26" t="s">
        <v>328</v>
      </c>
      <c r="C355" s="22">
        <f>vlookup(B355,'재고 백업'!$A:$B,2,0)</f>
        <v>22</v>
      </c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  <c r="BW355" s="40"/>
    </row>
    <row r="356" ht="21.0" customHeight="1">
      <c r="A356" s="36"/>
      <c r="B356" s="26" t="s">
        <v>329</v>
      </c>
      <c r="C356" s="22">
        <f>vlookup(B356,'재고 백업'!$A:$B,2,0)</f>
        <v>31</v>
      </c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  <c r="BW356" s="40"/>
    </row>
    <row r="357" ht="21.0" customHeight="1">
      <c r="A357" s="36"/>
      <c r="B357" s="26" t="s">
        <v>330</v>
      </c>
      <c r="C357" s="22">
        <f>vlookup(B357,'재고 백업'!$A:$B,2,0)</f>
        <v>15</v>
      </c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  <c r="BW357" s="40"/>
    </row>
    <row r="358" ht="21.0" customHeight="1">
      <c r="A358" s="36"/>
      <c r="B358" s="26" t="s">
        <v>331</v>
      </c>
      <c r="C358" s="22">
        <f>vlookup(B358,'재고 백업'!$A:$B,2,0)</f>
        <v>33</v>
      </c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  <c r="BW358" s="40"/>
    </row>
    <row r="359" ht="21.0" customHeight="1">
      <c r="A359" s="36"/>
      <c r="B359" s="29"/>
      <c r="C359" s="3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  <c r="BW359" s="40"/>
    </row>
    <row r="360" ht="21.0" customHeight="1">
      <c r="A360" s="36"/>
      <c r="B360" s="35" t="s">
        <v>332</v>
      </c>
      <c r="C360" s="35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</row>
    <row r="361" ht="21.0" customHeight="1">
      <c r="A361" s="36"/>
      <c r="B361" s="26" t="s">
        <v>333</v>
      </c>
      <c r="C361" s="22">
        <f>vlookup(B361,'재고 백업'!$A:$B,2,0)</f>
        <v>134</v>
      </c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  <c r="BW361" s="40"/>
    </row>
    <row r="362" ht="21.0" customHeight="1">
      <c r="A362" s="36"/>
      <c r="B362" s="26" t="s">
        <v>334</v>
      </c>
      <c r="C362" s="22">
        <f>vlookup(B362,'재고 백업'!$A:$B,2,0)</f>
        <v>257</v>
      </c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  <c r="BW362" s="40"/>
    </row>
    <row r="363" ht="21.0" customHeight="1">
      <c r="A363" s="36"/>
      <c r="B363" s="26" t="s">
        <v>335</v>
      </c>
      <c r="C363" s="22">
        <f>vlookup(B363,'재고 백업'!$A:$B,2,0)</f>
        <v>71</v>
      </c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  <c r="BW363" s="40"/>
    </row>
    <row r="364" ht="21.0" customHeight="1">
      <c r="A364" s="36"/>
      <c r="B364" s="26" t="s">
        <v>336</v>
      </c>
      <c r="C364" s="22">
        <f>vlookup(B364,'재고 백업'!$A:$B,2,0)</f>
        <v>138</v>
      </c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  <c r="BW364" s="40"/>
    </row>
    <row r="365" ht="21.0" customHeight="1">
      <c r="A365" s="36"/>
      <c r="B365" s="26" t="s">
        <v>337</v>
      </c>
      <c r="C365" s="22">
        <f>vlookup(B365,'재고 백업'!$A:$B,2,0)</f>
        <v>50</v>
      </c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</row>
    <row r="366" ht="21.0" customHeight="1">
      <c r="A366" s="36"/>
      <c r="B366" s="26" t="s">
        <v>338</v>
      </c>
      <c r="C366" s="22">
        <f>vlookup(B366,'재고 백업'!$A:$B,2,0)</f>
        <v>81</v>
      </c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  <c r="BW366" s="40"/>
    </row>
    <row r="367" ht="21.0" customHeight="1">
      <c r="A367" s="36"/>
      <c r="B367" s="26" t="s">
        <v>339</v>
      </c>
      <c r="C367" s="22">
        <f>vlookup(B367,'재고 백업'!$A:$B,2,0)</f>
        <v>55</v>
      </c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  <c r="BW367" s="40"/>
    </row>
    <row r="368" ht="21.0" customHeight="1">
      <c r="A368" s="36"/>
      <c r="B368" s="26" t="s">
        <v>340</v>
      </c>
      <c r="C368" s="22">
        <f>vlookup(B368,'재고 백업'!$A:$B,2,0)</f>
        <v>222</v>
      </c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  <c r="BW368" s="40"/>
    </row>
    <row r="369" ht="21.0" customHeight="1">
      <c r="A369" s="36"/>
      <c r="B369" s="26" t="s">
        <v>341</v>
      </c>
      <c r="C369" s="22">
        <f>vlookup(B369,'재고 백업'!$A:$B,2,0)</f>
        <v>16</v>
      </c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  <c r="BW369" s="40"/>
    </row>
    <row r="370" ht="21.0" customHeight="1">
      <c r="A370" s="36"/>
      <c r="B370" s="26" t="s">
        <v>342</v>
      </c>
      <c r="C370" s="22">
        <f>vlookup(B370,'재고 백업'!$A:$B,2,0)</f>
        <v>222</v>
      </c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  <c r="BW370" s="40"/>
    </row>
    <row r="371" ht="21.0" customHeight="1">
      <c r="A371" s="36"/>
      <c r="B371" s="26" t="s">
        <v>343</v>
      </c>
      <c r="C371" s="22">
        <f>vlookup(B371,'재고 백업'!$A:$B,2,0)</f>
        <v>466</v>
      </c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  <c r="BW371" s="40"/>
    </row>
    <row r="372" ht="21.0" customHeight="1">
      <c r="A372" s="36"/>
      <c r="B372" s="26" t="s">
        <v>344</v>
      </c>
      <c r="C372" s="22">
        <f>vlookup(B372,'재고 백업'!$A:$B,2,0)</f>
        <v>42</v>
      </c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</row>
    <row r="373" ht="21.0" customHeight="1">
      <c r="A373" s="36"/>
      <c r="B373" s="26" t="s">
        <v>345</v>
      </c>
      <c r="C373" s="22">
        <f>vlookup(B373,'재고 백업'!$A:$B,2,0)</f>
        <v>140</v>
      </c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  <c r="BW373" s="40"/>
    </row>
    <row r="374" ht="21.0" customHeight="1">
      <c r="A374" s="36"/>
      <c r="B374" s="26" t="s">
        <v>346</v>
      </c>
      <c r="C374" s="22">
        <f>vlookup(B374,'재고 백업'!$A:$B,2,0)</f>
        <v>95</v>
      </c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</row>
    <row r="375" ht="21.0" customHeight="1">
      <c r="A375" s="12"/>
      <c r="B375" s="26" t="s">
        <v>347</v>
      </c>
      <c r="C375" s="22">
        <f>vlookup(B375,'재고 백업'!$A:$B,2,0)</f>
        <v>725</v>
      </c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</row>
    <row r="376" ht="21.0" customHeight="1">
      <c r="A376" s="12"/>
      <c r="B376" s="26" t="s">
        <v>348</v>
      </c>
      <c r="C376" s="22">
        <f>vlookup(B376,'재고 백업'!$A:$B,2,0)</f>
        <v>48</v>
      </c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  <c r="BW376" s="40"/>
    </row>
    <row r="377" ht="21.0" customHeight="1">
      <c r="A377" s="12"/>
      <c r="B377" s="26" t="s">
        <v>349</v>
      </c>
      <c r="C377" s="22">
        <f>vlookup(B377,'재고 백업'!$A:$B,2,0)</f>
        <v>79</v>
      </c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</row>
    <row r="378" ht="21.0" customHeight="1">
      <c r="A378" s="12"/>
      <c r="B378" s="26" t="s">
        <v>350</v>
      </c>
      <c r="C378" s="22">
        <f>vlookup(B378,'재고 백업'!$A:$B,2,0)</f>
        <v>147</v>
      </c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</row>
    <row r="379" ht="21.0" customHeight="1">
      <c r="A379" s="12"/>
      <c r="B379" s="26" t="s">
        <v>351</v>
      </c>
      <c r="C379" s="22">
        <f>vlookup(B379,'재고 백업'!$A:$B,2,0)</f>
        <v>38</v>
      </c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</row>
    <row r="380" ht="21.0" customHeight="1">
      <c r="A380" s="12"/>
      <c r="B380" s="29"/>
      <c r="C380" s="30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</row>
    <row r="381" ht="21.0" customHeight="1">
      <c r="A381" s="12"/>
      <c r="B381" s="31" t="s">
        <v>352</v>
      </c>
      <c r="C381" s="31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</row>
    <row r="382" ht="21.0" customHeight="1">
      <c r="A382" s="12"/>
      <c r="B382" s="32" t="s">
        <v>353</v>
      </c>
      <c r="C382" s="22">
        <f>vlookup(B382,'재고 백업'!$A:$B,2,0)</f>
        <v>220</v>
      </c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</row>
    <row r="383" ht="21.0" customHeight="1">
      <c r="A383" s="12"/>
      <c r="B383" s="32" t="s">
        <v>354</v>
      </c>
      <c r="C383" s="22" t="str">
        <f>vlookup(B383,'재고 백업'!$A:$B,2,0)</f>
        <v>-</v>
      </c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</row>
    <row r="384" ht="21.0" customHeight="1">
      <c r="A384" s="12"/>
      <c r="B384" s="32" t="s">
        <v>355</v>
      </c>
      <c r="C384" s="22">
        <f>vlookup(B384,'재고 백업'!$A:$B,2,0)</f>
        <v>190</v>
      </c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</row>
    <row r="385" ht="21.0" customHeight="1">
      <c r="A385" s="12"/>
      <c r="B385" s="32" t="s">
        <v>356</v>
      </c>
      <c r="C385" s="22">
        <f>vlookup(B385,'재고 백업'!$A:$B,2,0)</f>
        <v>289</v>
      </c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</row>
    <row r="386" ht="21.0" customHeight="1">
      <c r="A386" s="12"/>
      <c r="B386" s="32" t="s">
        <v>357</v>
      </c>
      <c r="C386" s="22">
        <f>vlookup(B386,'재고 백업'!$A:$B,2,0)</f>
        <v>134</v>
      </c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</row>
    <row r="387" ht="21.0" customHeight="1">
      <c r="A387" s="12"/>
      <c r="B387" s="29"/>
      <c r="C387" s="30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</row>
    <row r="388" ht="21.0" customHeight="1">
      <c r="A388" s="12"/>
      <c r="B388" s="31" t="s">
        <v>358</v>
      </c>
      <c r="C388" s="31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</row>
    <row r="389" ht="21.0" customHeight="1">
      <c r="A389" s="12"/>
      <c r="B389" s="46" t="s">
        <v>359</v>
      </c>
      <c r="C389" s="22">
        <f>vlookup(B389,'재고 백업'!$A:$B,2,0)</f>
        <v>26</v>
      </c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</row>
    <row r="390" ht="21.0" customHeight="1">
      <c r="A390" s="12"/>
      <c r="B390" s="46" t="s">
        <v>360</v>
      </c>
      <c r="C390" s="22">
        <f>vlookup(B390,'재고 백업'!$A:$B,2,0)</f>
        <v>8</v>
      </c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</row>
    <row r="391" ht="21.0" customHeight="1">
      <c r="A391" s="12"/>
      <c r="B391" s="46" t="s">
        <v>361</v>
      </c>
      <c r="C391" s="22">
        <f>vlookup(B391,'재고 백업'!$A:$B,2,0)</f>
        <v>8</v>
      </c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</row>
    <row r="392" ht="21.0" customHeight="1">
      <c r="A392" s="12"/>
      <c r="B392" s="46" t="s">
        <v>362</v>
      </c>
      <c r="C392" s="22">
        <f>vlookup(B392,'재고 백업'!$A:$B,2,0)</f>
        <v>20</v>
      </c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</row>
    <row r="393" ht="21.0" customHeight="1">
      <c r="A393" s="12"/>
      <c r="B393" s="46" t="s">
        <v>363</v>
      </c>
      <c r="C393" s="22">
        <f>vlookup(B393,'재고 백업'!$A:$B,2,0)</f>
        <v>12</v>
      </c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</row>
    <row r="394" ht="21.0" customHeight="1">
      <c r="A394" s="12"/>
      <c r="B394" s="46" t="s">
        <v>364</v>
      </c>
      <c r="C394" s="22">
        <f>vlookup(B394,'재고 백업'!$A:$B,2,0)</f>
        <v>6</v>
      </c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</row>
    <row r="395" ht="21.0" customHeight="1">
      <c r="A395" s="12"/>
      <c r="B395" s="46" t="s">
        <v>365</v>
      </c>
      <c r="C395" s="22">
        <f>vlookup(B395,'재고 백업'!$A:$B,2,0)</f>
        <v>168</v>
      </c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</row>
    <row r="396" ht="21.0" customHeight="1">
      <c r="A396" s="12"/>
      <c r="B396" s="46" t="s">
        <v>366</v>
      </c>
      <c r="C396" s="22">
        <f>vlookup(B396,'재고 백업'!$A:$B,2,0)</f>
        <v>34</v>
      </c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</row>
    <row r="397" ht="21.0" customHeight="1">
      <c r="A397" s="12"/>
      <c r="B397" s="46" t="s">
        <v>367</v>
      </c>
      <c r="C397" s="22" t="str">
        <f>vlookup(B397,'재고 백업'!$A:$B,2,0)</f>
        <v>-</v>
      </c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</row>
    <row r="398" ht="21.0" customHeight="1">
      <c r="A398" s="12"/>
      <c r="B398" s="46" t="s">
        <v>368</v>
      </c>
      <c r="C398" s="22">
        <f>vlookup(B398,'재고 백업'!$A:$B,2,0)</f>
        <v>3</v>
      </c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</row>
    <row r="399" ht="21.0" customHeight="1">
      <c r="A399" s="12"/>
      <c r="B399" s="46" t="s">
        <v>369</v>
      </c>
      <c r="C399" s="22" t="str">
        <f>vlookup(B399,'재고 백업'!$A:$B,2,0)</f>
        <v>-</v>
      </c>
      <c r="D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</row>
    <row r="400" ht="21.0" customHeight="1">
      <c r="A400" s="12"/>
      <c r="B400" s="46" t="s">
        <v>370</v>
      </c>
      <c r="C400" s="22">
        <f>vlookup(B400,'재고 백업'!$A:$B,2,0)</f>
        <v>4</v>
      </c>
      <c r="D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</row>
    <row r="401" ht="21.0" customHeight="1">
      <c r="A401" s="12"/>
      <c r="B401" s="44"/>
      <c r="C401" s="44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</row>
    <row r="402" ht="21.0" customHeight="1">
      <c r="A402" s="12"/>
      <c r="B402" s="31" t="s">
        <v>371</v>
      </c>
      <c r="C402" s="31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</row>
    <row r="403" ht="21.0" customHeight="1">
      <c r="A403" s="12"/>
      <c r="B403" s="46" t="s">
        <v>372</v>
      </c>
      <c r="C403" s="22">
        <f>vlookup(B403,'재고 백업'!$A:$B,2,0)</f>
        <v>71</v>
      </c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</row>
    <row r="404" ht="21.0" customHeight="1">
      <c r="A404" s="12"/>
      <c r="B404" s="46" t="s">
        <v>373</v>
      </c>
      <c r="C404" s="22">
        <f>vlookup(B404,'재고 백업'!$A:$B,2,0)</f>
        <v>593</v>
      </c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</row>
    <row r="405" ht="21.0" customHeight="1">
      <c r="A405" s="12"/>
      <c r="B405" s="46" t="s">
        <v>374</v>
      </c>
      <c r="C405" s="22" t="str">
        <f>vlookup(B405,'재고 백업'!$A:$B,2,0)</f>
        <v>-</v>
      </c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</row>
    <row r="406" ht="21.0" customHeight="1">
      <c r="A406" s="12"/>
      <c r="B406" s="46" t="s">
        <v>375</v>
      </c>
      <c r="C406" s="22">
        <f>vlookup(B406,'재고 백업'!$A:$B,2,0)</f>
        <v>517</v>
      </c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  <c r="BW406" s="40"/>
    </row>
    <row r="407" ht="21.0" customHeight="1">
      <c r="A407" s="12"/>
      <c r="B407" s="46" t="s">
        <v>376</v>
      </c>
      <c r="C407" s="22">
        <f>vlookup(B407,'재고 백업'!$A:$B,2,0)</f>
        <v>377</v>
      </c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</row>
    <row r="408" ht="21.0" customHeight="1">
      <c r="A408" s="12"/>
      <c r="B408" s="46" t="s">
        <v>377</v>
      </c>
      <c r="C408" s="22">
        <f>vlookup(B408,'재고 백업'!$A:$B,2,0)</f>
        <v>277</v>
      </c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</row>
    <row r="409" ht="21.0" customHeight="1">
      <c r="A409" s="12"/>
      <c r="B409" s="46" t="s">
        <v>378</v>
      </c>
      <c r="C409" s="22">
        <f>vlookup(B409,'재고 백업'!$A:$B,2,0)</f>
        <v>15</v>
      </c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</row>
    <row r="410" ht="21.0" customHeight="1">
      <c r="A410" s="12"/>
      <c r="B410" s="46" t="s">
        <v>379</v>
      </c>
      <c r="C410" s="22">
        <f>vlookup(B410,'재고 백업'!$A:$B,2,0)</f>
        <v>65</v>
      </c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</row>
    <row r="411" ht="21.0" customHeight="1">
      <c r="A411" s="12"/>
      <c r="B411" s="46" t="s">
        <v>380</v>
      </c>
      <c r="C411" s="22">
        <f>vlookup(B411,'재고 백업'!$A:$B,2,0)</f>
        <v>259</v>
      </c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</row>
    <row r="412" ht="21.0" customHeight="1">
      <c r="A412" s="12"/>
      <c r="B412" s="46" t="s">
        <v>381</v>
      </c>
      <c r="C412" s="22">
        <f>vlookup(B412,'재고 백업'!$A:$B,2,0)</f>
        <v>30</v>
      </c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</row>
    <row r="413" ht="21.0" customHeight="1">
      <c r="A413" s="12"/>
      <c r="B413" s="44"/>
      <c r="C413" s="44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</row>
    <row r="414" ht="21.0" customHeight="1">
      <c r="A414" s="12"/>
      <c r="B414" s="47" t="s">
        <v>382</v>
      </c>
      <c r="C414" s="4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</row>
    <row r="415" ht="21.0" customHeight="1">
      <c r="A415" s="12"/>
      <c r="B415" s="21" t="s">
        <v>383</v>
      </c>
      <c r="C415" s="22" t="str">
        <f>vlookup(B415,'재고 백업'!$A:$B,2,0)</f>
        <v>-</v>
      </c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</row>
    <row r="416" ht="21.0" customHeight="1">
      <c r="A416" s="12"/>
      <c r="B416" s="44"/>
      <c r="C416" s="44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</row>
    <row r="417" ht="21.0" customHeight="1">
      <c r="A417" s="12"/>
      <c r="B417" s="47" t="s">
        <v>384</v>
      </c>
      <c r="C417" s="4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</row>
    <row r="418" ht="21.0" customHeight="1">
      <c r="A418" s="12"/>
      <c r="B418" s="21" t="s">
        <v>385</v>
      </c>
      <c r="C418" s="22" t="str">
        <f>vlookup(B418,'재고 백업'!$A:$B,2,0)</f>
        <v>-</v>
      </c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</row>
    <row r="419" ht="21.0" customHeight="1">
      <c r="A419" s="12"/>
      <c r="B419" s="21" t="s">
        <v>386</v>
      </c>
      <c r="C419" s="22" t="str">
        <f>vlookup(B419,'재고 백업'!$A:$B,2,0)</f>
        <v>-</v>
      </c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</row>
    <row r="420" ht="21.0" customHeight="1">
      <c r="A420" s="12"/>
      <c r="B420" s="48" t="s">
        <v>387</v>
      </c>
      <c r="C420" s="22" t="str">
        <f>vlookup(B420,'재고 백업'!$A:$B,2,0)</f>
        <v>-</v>
      </c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</row>
    <row r="421" ht="21.0" customHeight="1">
      <c r="A421" s="12"/>
      <c r="B421" s="44"/>
      <c r="C421" s="44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</row>
    <row r="422" ht="21.0" customHeight="1">
      <c r="A422" s="12"/>
      <c r="B422" s="47" t="s">
        <v>388</v>
      </c>
      <c r="C422" s="4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</row>
    <row r="423" ht="21.0" customHeight="1">
      <c r="A423" s="12"/>
      <c r="B423" s="46" t="s">
        <v>389</v>
      </c>
      <c r="C423" s="22">
        <f>vlookup(B423,'재고 백업'!$A:$B,2,0)</f>
        <v>1</v>
      </c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</row>
    <row r="424" ht="21.0" customHeight="1">
      <c r="A424" s="12"/>
      <c r="B424" s="44"/>
      <c r="C424" s="44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</row>
    <row r="425" ht="21.0" customHeight="1">
      <c r="A425" s="12"/>
      <c r="B425" s="31" t="s">
        <v>390</v>
      </c>
      <c r="C425" s="31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</row>
    <row r="426" ht="21.0" customHeight="1">
      <c r="A426" s="12"/>
      <c r="B426" s="46" t="s">
        <v>391</v>
      </c>
      <c r="C426" s="22">
        <f>vlookup(B426,'재고 백업'!$A:$B,2,0)</f>
        <v>33</v>
      </c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</row>
    <row r="427" ht="21.0" customHeight="1">
      <c r="A427" s="12"/>
      <c r="B427" s="46" t="s">
        <v>392</v>
      </c>
      <c r="C427" s="22">
        <f>vlookup(B427,'재고 백업'!$A:$B,2,0)</f>
        <v>45</v>
      </c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</row>
    <row r="428" ht="21.0" customHeight="1">
      <c r="A428" s="12"/>
      <c r="B428" s="46" t="s">
        <v>393</v>
      </c>
      <c r="C428" s="22">
        <f>vlookup(B428,'재고 백업'!$A:$B,2,0)</f>
        <v>26</v>
      </c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  <c r="BW428" s="40"/>
    </row>
    <row r="429" ht="21.0" customHeight="1">
      <c r="A429" s="12"/>
      <c r="B429" s="46" t="s">
        <v>394</v>
      </c>
      <c r="C429" s="22">
        <f>vlookup(B429,'재고 백업'!$A:$B,2,0)</f>
        <v>30</v>
      </c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</row>
    <row r="430" ht="21.0" customHeight="1">
      <c r="A430" s="36"/>
      <c r="B430" s="46" t="s">
        <v>395</v>
      </c>
      <c r="C430" s="22">
        <f>vlookup(B430,'재고 백업'!$A:$B,2,0)</f>
        <v>6</v>
      </c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</row>
    <row r="431" ht="21.0" customHeight="1">
      <c r="A431" s="36"/>
      <c r="B431" s="46" t="s">
        <v>396</v>
      </c>
      <c r="C431" s="22">
        <f>vlookup(B431,'재고 백업'!$A:$B,2,0)</f>
        <v>6</v>
      </c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</row>
    <row r="432" ht="21.0" customHeight="1">
      <c r="A432" s="36"/>
      <c r="B432" s="46" t="s">
        <v>397</v>
      </c>
      <c r="C432" s="22">
        <f>vlookup(B432,'재고 백업'!$A:$B,2,0)</f>
        <v>16</v>
      </c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</row>
    <row r="433" ht="21.0" customHeight="1">
      <c r="A433" s="36"/>
      <c r="B433" s="46" t="s">
        <v>398</v>
      </c>
      <c r="C433" s="22">
        <f>vlookup(B433,'재고 백업'!$A:$B,2,0)</f>
        <v>24</v>
      </c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</row>
    <row r="434" ht="21.0" customHeight="1">
      <c r="A434" s="36"/>
      <c r="B434" s="46" t="s">
        <v>399</v>
      </c>
      <c r="C434" s="21" t="str">
        <f>vlookup(B434,'재고 백업'!$A:$B,2,0)</f>
        <v>#N/A</v>
      </c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</row>
    <row r="435" ht="21.0" customHeight="1">
      <c r="A435" s="36"/>
      <c r="B435" s="46" t="s">
        <v>400</v>
      </c>
      <c r="C435" s="22" t="str">
        <f>vlookup(B435,'재고 백업'!$A:$B,2,0)</f>
        <v>-</v>
      </c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</row>
    <row r="436" ht="21.0" customHeight="1">
      <c r="A436" s="36"/>
      <c r="B436" s="46" t="s">
        <v>401</v>
      </c>
      <c r="C436" s="22">
        <f>vlookup(B436,'재고 백업'!$A:$B,2,0)</f>
        <v>2</v>
      </c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</row>
    <row r="437" ht="21.0" customHeight="1">
      <c r="A437" s="36"/>
      <c r="B437" s="46" t="s">
        <v>402</v>
      </c>
      <c r="C437" s="22">
        <f>vlookup(B437,'재고 백업'!$A:$B,2,0)</f>
        <v>16</v>
      </c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</row>
    <row r="438" ht="21.0" customHeight="1">
      <c r="A438" s="36"/>
      <c r="B438" s="46" t="s">
        <v>403</v>
      </c>
      <c r="C438" s="22">
        <f>vlookup(B438,'재고 백업'!$A:$B,2,0)</f>
        <v>9</v>
      </c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</row>
    <row r="439" ht="21.0" customHeight="1">
      <c r="A439" s="36"/>
      <c r="B439" s="46" t="s">
        <v>404</v>
      </c>
      <c r="C439" s="22">
        <f>vlookup(B439,'재고 백업'!$A:$B,2,0)</f>
        <v>12</v>
      </c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</row>
    <row r="440" ht="21.0" customHeight="1">
      <c r="A440" s="36"/>
      <c r="B440" s="46" t="s">
        <v>405</v>
      </c>
      <c r="C440" s="22">
        <f>vlookup(B440,'재고 백업'!$A:$B,2,0)</f>
        <v>10</v>
      </c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</row>
    <row r="441" ht="21.0" customHeight="1">
      <c r="A441" s="36"/>
      <c r="B441" s="46" t="s">
        <v>406</v>
      </c>
      <c r="C441" s="21" t="str">
        <f>vlookup(B441,'재고 백업'!$A:$B,2,0)</f>
        <v>#N/A</v>
      </c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</row>
    <row r="442" ht="21.0" customHeight="1">
      <c r="A442" s="36"/>
      <c r="B442" s="46" t="s">
        <v>407</v>
      </c>
      <c r="C442" s="22">
        <f>vlookup(B442,'재고 백업'!$A:$B,2,0)</f>
        <v>9</v>
      </c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</row>
    <row r="443" ht="21.0" customHeight="1">
      <c r="A443" s="36"/>
      <c r="B443" s="46" t="s">
        <v>408</v>
      </c>
      <c r="C443" s="22">
        <f>vlookup(B443,'재고 백업'!$A:$B,2,0)</f>
        <v>8</v>
      </c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</row>
    <row r="444" ht="21.0" customHeight="1">
      <c r="A444" s="36"/>
      <c r="B444" s="46" t="s">
        <v>409</v>
      </c>
      <c r="C444" s="22">
        <f>vlookup(B444,'재고 백업'!$A:$B,2,0)</f>
        <v>45</v>
      </c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</row>
    <row r="445" ht="21.0" customHeight="1">
      <c r="A445" s="36"/>
      <c r="B445" s="46" t="s">
        <v>410</v>
      </c>
      <c r="C445" s="22">
        <f>vlookup(B445,'재고 백업'!$A:$B,2,0)</f>
        <v>45</v>
      </c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</row>
    <row r="446" ht="21.0" customHeight="1">
      <c r="A446" s="36"/>
      <c r="B446" s="44"/>
      <c r="C446" s="44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</row>
    <row r="447" ht="21.0" customHeight="1">
      <c r="A447" s="36"/>
      <c r="B447" s="49" t="s">
        <v>411</v>
      </c>
      <c r="C447" s="50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</row>
    <row r="448" ht="21.0" customHeight="1">
      <c r="A448" s="36"/>
      <c r="B448" s="46" t="s">
        <v>412</v>
      </c>
      <c r="C448" s="22">
        <f>vlookup(B448,'재고 백업'!$A:$B,2,0)</f>
        <v>14</v>
      </c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</row>
    <row r="449" ht="21.0" customHeight="1">
      <c r="A449" s="36"/>
      <c r="B449" s="44"/>
      <c r="C449" s="44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</row>
    <row r="450" ht="21.0" customHeight="1">
      <c r="A450" s="36"/>
      <c r="B450" s="31" t="s">
        <v>413</v>
      </c>
      <c r="C450" s="51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</row>
    <row r="451" ht="21.0" customHeight="1">
      <c r="A451" s="36"/>
      <c r="B451" s="46" t="s">
        <v>414</v>
      </c>
      <c r="C451" s="22">
        <f>vlookup(B451,'재고 백업'!$A:$B,2,0)</f>
        <v>173</v>
      </c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</row>
    <row r="452" ht="21.0" customHeight="1">
      <c r="A452" s="36"/>
      <c r="B452" s="46" t="s">
        <v>415</v>
      </c>
      <c r="C452" s="22" t="str">
        <f>vlookup(B452,'재고 백업'!$A:$B,2,0)</f>
        <v>-</v>
      </c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</row>
    <row r="453" ht="21.0" customHeight="1">
      <c r="A453" s="36"/>
      <c r="B453" s="46" t="s">
        <v>416</v>
      </c>
      <c r="C453" s="22">
        <f>vlookup(B453,'재고 백업'!$A:$B,2,0)</f>
        <v>5</v>
      </c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</row>
    <row r="454" ht="21.0" customHeight="1">
      <c r="A454" s="36"/>
      <c r="B454" s="44"/>
      <c r="C454" s="44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</row>
    <row r="455" ht="21.0" customHeight="1">
      <c r="A455" s="36"/>
      <c r="B455" s="52" t="s">
        <v>417</v>
      </c>
      <c r="C455" s="53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</row>
    <row r="456" ht="21.0" customHeight="1">
      <c r="A456" s="36"/>
      <c r="B456" s="46" t="s">
        <v>418</v>
      </c>
      <c r="C456" s="22">
        <f>vlookup(B456,'재고 백업'!$A:$B,2,0)</f>
        <v>10</v>
      </c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  <c r="BW456" s="40"/>
    </row>
    <row r="457" ht="21.0" customHeight="1">
      <c r="A457" s="12"/>
      <c r="B457" s="44"/>
      <c r="C457" s="44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  <c r="BW457" s="40"/>
    </row>
    <row r="458" ht="21.0" customHeight="1">
      <c r="A458" s="36"/>
      <c r="B458" s="54" t="s">
        <v>419</v>
      </c>
      <c r="C458" s="55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  <c r="BW458" s="40"/>
    </row>
    <row r="459" ht="21.0" customHeight="1">
      <c r="A459" s="36"/>
      <c r="B459" s="46" t="s">
        <v>420</v>
      </c>
      <c r="C459" s="22">
        <f>vlookup(B459,'재고 백업'!$A:$B,2,0)</f>
        <v>60</v>
      </c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  <c r="BW459" s="40"/>
    </row>
    <row r="460" ht="21.0" customHeight="1">
      <c r="A460" s="36"/>
      <c r="B460" s="44"/>
      <c r="C460" s="44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  <c r="BW460" s="40"/>
    </row>
    <row r="461" ht="21.0" customHeight="1">
      <c r="A461" s="36"/>
      <c r="B461" s="35" t="s">
        <v>421</v>
      </c>
      <c r="C461" s="56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  <c r="BW461" s="40"/>
    </row>
    <row r="462" ht="21.0" customHeight="1">
      <c r="A462" s="36"/>
      <c r="B462" s="46" t="s">
        <v>422</v>
      </c>
      <c r="C462" s="22" t="str">
        <f>vlookup(B462,'재고 백업'!$A:$B,2,0)</f>
        <v>-</v>
      </c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  <c r="BW462" s="40"/>
    </row>
    <row r="463" ht="21.0" customHeight="1">
      <c r="A463" s="36"/>
      <c r="B463" s="44"/>
      <c r="C463" s="44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  <c r="BW463" s="40"/>
    </row>
    <row r="464" ht="21.0" customHeight="1">
      <c r="A464" s="36"/>
      <c r="B464" s="31" t="s">
        <v>423</v>
      </c>
      <c r="C464" s="31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  <c r="BW464" s="40"/>
    </row>
    <row r="465" ht="21.0" customHeight="1">
      <c r="A465" s="36"/>
      <c r="B465" s="46" t="s">
        <v>424</v>
      </c>
      <c r="C465" s="22">
        <f>vlookup(B465,'재고 백업'!$A:$B,2,0)</f>
        <v>20</v>
      </c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  <c r="BW465" s="40"/>
    </row>
    <row r="466" ht="21.0" customHeight="1">
      <c r="A466" s="36"/>
      <c r="B466" s="32" t="s">
        <v>425</v>
      </c>
      <c r="C466" s="22">
        <f>vlookup(B466,'재고 백업'!$A:$B,2,0)</f>
        <v>60</v>
      </c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  <c r="BW466" s="40"/>
    </row>
    <row r="467" ht="21.0" customHeight="1">
      <c r="A467" s="36"/>
      <c r="B467" s="32" t="s">
        <v>426</v>
      </c>
      <c r="C467" s="22">
        <f>vlookup(B467,'재고 백업'!$A:$B,2,0)</f>
        <v>20</v>
      </c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  <c r="BW467" s="40"/>
    </row>
    <row r="468" ht="21.0" customHeight="1">
      <c r="A468" s="36"/>
      <c r="B468" s="32" t="s">
        <v>427</v>
      </c>
      <c r="C468" s="22">
        <f>vlookup(B468,'재고 백업'!$A:$B,2,0)</f>
        <v>46</v>
      </c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  <c r="BW468" s="40"/>
    </row>
    <row r="469" ht="21.0" customHeight="1">
      <c r="A469" s="36"/>
      <c r="B469" s="32" t="s">
        <v>428</v>
      </c>
      <c r="C469" s="22">
        <f>vlookup(B469,'재고 백업'!$A:$B,2,0)</f>
        <v>12</v>
      </c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  <c r="BW469" s="40"/>
    </row>
    <row r="470" ht="21.0" customHeight="1">
      <c r="A470" s="36"/>
      <c r="B470" s="32" t="s">
        <v>429</v>
      </c>
      <c r="C470" s="22">
        <f>vlookup(B470,'재고 백업'!$A:$B,2,0)</f>
        <v>70</v>
      </c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  <c r="BW470" s="40"/>
    </row>
    <row r="471" ht="21.0" customHeight="1">
      <c r="A471" s="36"/>
      <c r="B471" s="32" t="s">
        <v>430</v>
      </c>
      <c r="C471" s="22">
        <f>vlookup(B471,'재고 백업'!$A:$B,2,0)</f>
        <v>103</v>
      </c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  <c r="BW471" s="40"/>
    </row>
    <row r="472" ht="21.0" customHeight="1">
      <c r="A472" s="36"/>
      <c r="B472" s="32" t="s">
        <v>431</v>
      </c>
      <c r="C472" s="22">
        <f>vlookup(B472,'재고 백업'!$A:$B,2,0)</f>
        <v>76</v>
      </c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  <c r="BW472" s="40"/>
    </row>
    <row r="473" ht="21.0" customHeight="1">
      <c r="A473" s="36"/>
      <c r="B473" s="32" t="s">
        <v>432</v>
      </c>
      <c r="C473" s="22">
        <f>vlookup(B473,'재고 백업'!$A:$B,2,0)</f>
        <v>29</v>
      </c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  <c r="BW473" s="40"/>
    </row>
    <row r="474" ht="21.0" customHeight="1">
      <c r="A474" s="36"/>
      <c r="B474" s="32" t="s">
        <v>433</v>
      </c>
      <c r="C474" s="22">
        <f>vlookup(B474,'재고 백업'!$A:$B,2,0)</f>
        <v>97</v>
      </c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  <c r="BW474" s="40"/>
    </row>
    <row r="475" ht="21.0" customHeight="1">
      <c r="A475" s="36"/>
      <c r="B475" s="32" t="s">
        <v>434</v>
      </c>
      <c r="C475" s="22">
        <f>vlookup(B475,'재고 백업'!$A:$B,2,0)</f>
        <v>21</v>
      </c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  <c r="BW475" s="40"/>
    </row>
    <row r="476" ht="21.0" customHeight="1">
      <c r="A476" s="36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  <c r="BW476" s="40"/>
    </row>
    <row r="477" ht="21.0" customHeight="1">
      <c r="A477" s="36"/>
      <c r="B477" s="41" t="s">
        <v>435</v>
      </c>
      <c r="C477" s="57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  <c r="BW477" s="40"/>
    </row>
    <row r="478" ht="21.0" customHeight="1">
      <c r="A478" s="36"/>
      <c r="B478" s="32" t="s">
        <v>436</v>
      </c>
      <c r="C478" s="22" t="str">
        <f>vlookup(B478,'재고 백업'!$A:$B,2,0)</f>
        <v>-</v>
      </c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  <c r="BW478" s="40"/>
    </row>
    <row r="479" ht="21.0" customHeight="1">
      <c r="A479" s="36"/>
      <c r="B479" s="32" t="s">
        <v>437</v>
      </c>
      <c r="C479" s="22" t="str">
        <f>vlookup(B479,'재고 백업'!$A:$B,2,0)</f>
        <v>-</v>
      </c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  <c r="BW479" s="40"/>
    </row>
    <row r="480" ht="21.0" customHeight="1">
      <c r="A480" s="36"/>
      <c r="B480" s="44"/>
      <c r="C480" s="44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  <c r="BW480" s="40"/>
    </row>
    <row r="481" ht="21.0" customHeight="1">
      <c r="A481" s="36"/>
      <c r="B481" s="41" t="s">
        <v>438</v>
      </c>
      <c r="C481" s="57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  <c r="BW481" s="40"/>
    </row>
    <row r="482" ht="21.0" customHeight="1">
      <c r="A482" s="36"/>
      <c r="B482" s="32" t="s">
        <v>439</v>
      </c>
      <c r="C482" s="22" t="str">
        <f>vlookup(B482,'재고 백업'!$A:$B,2,0)</f>
        <v>-</v>
      </c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0"/>
    </row>
    <row r="483" ht="21.0" customHeight="1">
      <c r="A483" s="36"/>
      <c r="B483" s="29"/>
      <c r="C483" s="3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  <c r="BW483" s="40"/>
    </row>
    <row r="484" ht="21.0" customHeight="1">
      <c r="A484" s="36"/>
      <c r="B484" s="58" t="s">
        <v>440</v>
      </c>
      <c r="C484" s="58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  <c r="BW484" s="40"/>
    </row>
    <row r="485" ht="21.0" customHeight="1">
      <c r="A485" s="36"/>
      <c r="B485" s="59" t="s">
        <v>441</v>
      </c>
      <c r="C485" s="22" t="str">
        <f>vlookup(B485,'재고 백업'!$A:$B,2,0)</f>
        <v>-</v>
      </c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  <c r="BW485" s="40"/>
    </row>
    <row r="486" ht="21.0" customHeight="1">
      <c r="A486" s="36"/>
      <c r="B486" s="59" t="s">
        <v>442</v>
      </c>
      <c r="C486" s="22">
        <f>vlookup(B486,'재고 백업'!$A:$B,2,0)</f>
        <v>13</v>
      </c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  <c r="BW486" s="40"/>
    </row>
    <row r="487" ht="21.0" customHeight="1">
      <c r="A487" s="36"/>
      <c r="B487" s="29"/>
      <c r="C487" s="3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  <c r="BW487" s="40"/>
    </row>
    <row r="488" ht="21.0" customHeight="1">
      <c r="A488" s="36"/>
      <c r="B488" s="58" t="s">
        <v>443</v>
      </c>
      <c r="C488" s="58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  <c r="BW488" s="40"/>
    </row>
    <row r="489" ht="21.0" customHeight="1">
      <c r="A489" s="36"/>
      <c r="B489" s="60" t="s">
        <v>444</v>
      </c>
      <c r="C489" s="22" t="str">
        <f>vlookup(B489,'재고 백업'!$A:$B,2,0)</f>
        <v>-</v>
      </c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  <c r="BW489" s="40"/>
    </row>
    <row r="490" ht="21.0" customHeight="1">
      <c r="A490" s="36"/>
      <c r="B490" s="60" t="s">
        <v>445</v>
      </c>
      <c r="C490" s="22">
        <f>vlookup(B490,'재고 백업'!$A:$B,2,0)</f>
        <v>125</v>
      </c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  <c r="BW490" s="40"/>
    </row>
    <row r="491" ht="21.0" customHeight="1">
      <c r="A491" s="36"/>
      <c r="B491" s="60" t="s">
        <v>446</v>
      </c>
      <c r="C491" s="22">
        <f>vlookup(B491,'재고 백업'!$A:$B,2,0)</f>
        <v>234</v>
      </c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  <c r="BW491" s="40"/>
    </row>
    <row r="492" ht="21.0" customHeight="1">
      <c r="A492" s="36"/>
      <c r="B492" s="60" t="s">
        <v>447</v>
      </c>
      <c r="C492" s="22">
        <f>vlookup(B492,'재고 백업'!$A:$B,2,0)</f>
        <v>273</v>
      </c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  <c r="BW492" s="40"/>
    </row>
    <row r="493" ht="21.0" customHeight="1">
      <c r="A493" s="36"/>
      <c r="B493" s="60" t="s">
        <v>448</v>
      </c>
      <c r="C493" s="22">
        <f>vlookup(B493,'재고 백업'!$A:$B,2,0)</f>
        <v>599</v>
      </c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  <c r="BW493" s="40"/>
    </row>
    <row r="494" ht="21.0" customHeight="1">
      <c r="A494" s="36"/>
      <c r="B494" s="60" t="s">
        <v>449</v>
      </c>
      <c r="C494" s="22">
        <f>vlookup(B494,'재고 백업'!$A:$B,2,0)</f>
        <v>84</v>
      </c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  <c r="BW494" s="40"/>
    </row>
    <row r="495" ht="21.0" customHeight="1">
      <c r="A495" s="36"/>
      <c r="B495" s="60" t="s">
        <v>450</v>
      </c>
      <c r="C495" s="22">
        <f>vlookup(B495,'재고 백업'!$A:$B,2,0)</f>
        <v>69</v>
      </c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  <c r="BW495" s="40"/>
    </row>
    <row r="496" ht="21.0" customHeight="1">
      <c r="A496" s="36"/>
      <c r="B496" s="60" t="s">
        <v>451</v>
      </c>
      <c r="C496" s="22">
        <f>vlookup(B496,'재고 백업'!$A:$B,2,0)</f>
        <v>457</v>
      </c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  <c r="BW496" s="40"/>
    </row>
    <row r="497" ht="21.0" customHeight="1">
      <c r="A497" s="36"/>
      <c r="B497" s="60" t="s">
        <v>452</v>
      </c>
      <c r="C497" s="22">
        <f>vlookup(B497,'재고 백업'!$A:$B,2,0)</f>
        <v>29</v>
      </c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  <c r="BW497" s="40"/>
    </row>
    <row r="498" ht="21.0" customHeight="1">
      <c r="A498" s="36"/>
      <c r="B498" s="60" t="s">
        <v>453</v>
      </c>
      <c r="C498" s="22" t="str">
        <f>vlookup(B498,'재고 백업'!$A:$B,2,0)</f>
        <v>-</v>
      </c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  <c r="BW498" s="40"/>
    </row>
    <row r="499" ht="21.0" customHeight="1">
      <c r="A499" s="36"/>
      <c r="B499" s="60" t="s">
        <v>454</v>
      </c>
      <c r="C499" s="22">
        <f>vlookup(B499,'재고 백업'!$A:$B,2,0)</f>
        <v>50</v>
      </c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  <c r="BW499" s="40"/>
    </row>
    <row r="500" ht="21.0" customHeight="1">
      <c r="A500" s="36"/>
      <c r="B500" s="60" t="s">
        <v>455</v>
      </c>
      <c r="C500" s="22">
        <f>vlookup(B500,'재고 백업'!$A:$B,2,0)</f>
        <v>61</v>
      </c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  <c r="BW500" s="40"/>
    </row>
    <row r="501" ht="21.0" customHeight="1">
      <c r="A501" s="36"/>
      <c r="B501" s="60" t="s">
        <v>456</v>
      </c>
      <c r="C501" s="22">
        <f>vlookup(B501,'재고 백업'!$A:$B,2,0)</f>
        <v>154</v>
      </c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  <c r="BW501" s="40"/>
    </row>
    <row r="502" ht="21.0" customHeight="1">
      <c r="A502" s="36"/>
      <c r="B502" s="60" t="s">
        <v>457</v>
      </c>
      <c r="C502" s="22">
        <f>vlookup(B502,'재고 백업'!$A:$B,2,0)</f>
        <v>22</v>
      </c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  <c r="BW502" s="40"/>
    </row>
    <row r="503" ht="21.0" customHeight="1">
      <c r="A503" s="36"/>
      <c r="B503" s="60" t="s">
        <v>458</v>
      </c>
      <c r="C503" s="22">
        <f>vlookup(B503,'재고 백업'!$A:$B,2,0)</f>
        <v>148</v>
      </c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  <c r="BW503" s="40"/>
    </row>
    <row r="504" ht="21.0" customHeight="1">
      <c r="A504" s="36"/>
      <c r="B504" s="60" t="s">
        <v>459</v>
      </c>
      <c r="C504" s="22">
        <f>vlookup(B504,'재고 백업'!$A:$B,2,0)</f>
        <v>135</v>
      </c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  <c r="BW504" s="40"/>
    </row>
    <row r="505" ht="21.0" customHeight="1">
      <c r="A505" s="36"/>
      <c r="B505" s="60" t="s">
        <v>460</v>
      </c>
      <c r="C505" s="22" t="str">
        <f>vlookup(B505,'재고 백업'!$A:$B,2,0)</f>
        <v>-</v>
      </c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  <c r="BW505" s="40"/>
    </row>
    <row r="506" ht="21.0" customHeight="1">
      <c r="A506" s="36"/>
      <c r="B506" s="60" t="s">
        <v>461</v>
      </c>
      <c r="C506" s="22">
        <f>vlookup(B506,'재고 백업'!$A:$B,2,0)</f>
        <v>36</v>
      </c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  <c r="BW506" s="40"/>
    </row>
    <row r="507" ht="21.0" customHeight="1">
      <c r="A507" s="36"/>
      <c r="B507" s="60" t="s">
        <v>462</v>
      </c>
      <c r="C507" s="22">
        <f>vlookup(B507,'재고 백업'!$A:$B,2,0)</f>
        <v>99</v>
      </c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  <c r="BW507" s="40"/>
    </row>
    <row r="508" ht="21.0" customHeight="1">
      <c r="A508" s="36"/>
      <c r="B508" s="60" t="s">
        <v>463</v>
      </c>
      <c r="C508" s="22" t="str">
        <f>vlookup(B508,'재고 백업'!$A:$B,2,0)</f>
        <v>-</v>
      </c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  <c r="BW508" s="40"/>
    </row>
    <row r="509" ht="21.0" customHeight="1">
      <c r="A509" s="36"/>
      <c r="B509" s="60" t="s">
        <v>464</v>
      </c>
      <c r="C509" s="22">
        <f>vlookup(B509,'재고 백업'!$A:$B,2,0)</f>
        <v>127</v>
      </c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  <c r="BW509" s="40"/>
    </row>
    <row r="510" ht="21.0" customHeight="1">
      <c r="A510" s="36"/>
      <c r="B510" s="60" t="s">
        <v>465</v>
      </c>
      <c r="C510" s="22">
        <f>vlookup(B510,'재고 백업'!$A:$B,2,0)</f>
        <v>156</v>
      </c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  <c r="BW510" s="40"/>
    </row>
    <row r="511" ht="21.0" customHeight="1">
      <c r="A511" s="36"/>
      <c r="B511" s="60" t="s">
        <v>466</v>
      </c>
      <c r="C511" s="22">
        <f>vlookup(B511,'재고 백업'!$A:$B,2,0)</f>
        <v>103</v>
      </c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  <c r="BW511" s="40"/>
    </row>
    <row r="512" ht="21.0" customHeight="1">
      <c r="A512" s="36"/>
      <c r="B512" s="32" t="s">
        <v>467</v>
      </c>
      <c r="C512" s="22">
        <f>vlookup(B512,'재고 백업'!$A:$B,2,0)</f>
        <v>36</v>
      </c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  <c r="BW512" s="40"/>
    </row>
    <row r="513" ht="21.0" customHeight="1">
      <c r="A513" s="36"/>
      <c r="B513" s="32" t="s">
        <v>468</v>
      </c>
      <c r="C513" s="22">
        <f>vlookup(B513,'재고 백업'!$A:$B,2,0)</f>
        <v>163</v>
      </c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  <c r="BW513" s="40"/>
    </row>
    <row r="514" ht="21.0" customHeight="1">
      <c r="A514" s="36"/>
      <c r="B514" s="32" t="s">
        <v>469</v>
      </c>
      <c r="C514" s="22" t="str">
        <f>vlookup(B514,'재고 백업'!$A:$B,2,0)</f>
        <v>-</v>
      </c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  <c r="BW514" s="40"/>
    </row>
    <row r="515" ht="21.0" customHeight="1">
      <c r="A515" s="36"/>
      <c r="B515" s="32" t="s">
        <v>470</v>
      </c>
      <c r="C515" s="22" t="str">
        <f>vlookup(B515,'재고 백업'!$A:$B,2,0)</f>
        <v>-</v>
      </c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  <c r="BW515" s="40"/>
    </row>
    <row r="516" ht="21.0" customHeight="1">
      <c r="A516" s="36"/>
      <c r="B516" s="32" t="s">
        <v>471</v>
      </c>
      <c r="C516" s="22" t="str">
        <f>vlookup(B516,'재고 백업'!$A:$B,2,0)</f>
        <v>-</v>
      </c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  <c r="BW516" s="40"/>
    </row>
    <row r="517" ht="21.0" customHeight="1">
      <c r="A517" s="36"/>
      <c r="B517" s="32" t="s">
        <v>472</v>
      </c>
      <c r="C517" s="22" t="str">
        <f>vlookup(B517,'재고 백업'!$A:$B,2,0)</f>
        <v>-</v>
      </c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  <c r="BW517" s="40"/>
    </row>
    <row r="518" ht="21.0" customHeight="1">
      <c r="A518" s="36"/>
      <c r="B518" s="32" t="s">
        <v>473</v>
      </c>
      <c r="C518" s="22" t="str">
        <f>vlookup(B518,'재고 백업'!$A:$B,2,0)</f>
        <v>-</v>
      </c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  <c r="BW518" s="40"/>
    </row>
    <row r="519" ht="21.0" customHeight="1">
      <c r="A519" s="36"/>
      <c r="B519" s="32" t="s">
        <v>474</v>
      </c>
      <c r="C519" s="21" t="str">
        <f>vlookup(B519,'재고 백업'!$A:$B,2,0)</f>
        <v>#N/A</v>
      </c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  <c r="BW519" s="40"/>
    </row>
    <row r="520" ht="21.0" customHeight="1">
      <c r="A520" s="36"/>
      <c r="B520" s="32" t="s">
        <v>475</v>
      </c>
      <c r="C520" s="22" t="str">
        <f>vlookup(B520,'재고 백업'!$A:$B,2,0)</f>
        <v>-</v>
      </c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  <c r="BW520" s="40"/>
    </row>
    <row r="521" ht="21.0" customHeight="1">
      <c r="A521" s="36"/>
      <c r="B521" s="32" t="s">
        <v>476</v>
      </c>
      <c r="C521" s="22" t="str">
        <f>vlookup(B521,'재고 백업'!$A:$B,2,0)</f>
        <v>-</v>
      </c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  <c r="BW521" s="40"/>
    </row>
    <row r="522" ht="21.0" customHeight="1">
      <c r="A522" s="36"/>
      <c r="B522" s="29"/>
      <c r="C522" s="3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  <c r="BW522" s="40"/>
    </row>
    <row r="523" ht="21.0" customHeight="1">
      <c r="A523" s="36"/>
      <c r="B523" s="41" t="s">
        <v>477</v>
      </c>
      <c r="C523" s="57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  <c r="BW523" s="40"/>
    </row>
    <row r="524" ht="21.0" customHeight="1">
      <c r="A524" s="36"/>
      <c r="B524" s="32" t="s">
        <v>478</v>
      </c>
      <c r="C524" s="22">
        <f>vlookup(B524,'재고 백업'!$A:$B,2,0)</f>
        <v>60</v>
      </c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  <c r="BW524" s="40"/>
    </row>
    <row r="525" ht="21.0" customHeight="1">
      <c r="A525" s="36"/>
      <c r="B525" s="32" t="s">
        <v>479</v>
      </c>
      <c r="C525" s="21" t="str">
        <f>vlookup(B525,'재고 백업'!$A:$B,2,0)</f>
        <v>#N/A</v>
      </c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  <c r="BW525" s="40"/>
    </row>
    <row r="526" ht="21.0" customHeight="1">
      <c r="A526" s="36"/>
      <c r="B526" s="29"/>
      <c r="C526" s="3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  <c r="BW526" s="40"/>
    </row>
    <row r="527" ht="21.0" customHeight="1">
      <c r="A527" s="36"/>
      <c r="B527" s="41" t="s">
        <v>480</v>
      </c>
      <c r="C527" s="57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  <c r="BW527" s="40"/>
    </row>
    <row r="528" ht="21.0" customHeight="1">
      <c r="A528" s="36"/>
      <c r="B528" s="32" t="s">
        <v>481</v>
      </c>
      <c r="C528" s="22">
        <f>vlookup(B528,'재고 백업'!$A:$B,2,0)</f>
        <v>79</v>
      </c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  <c r="BW528" s="40"/>
    </row>
    <row r="529" ht="21.0" customHeight="1">
      <c r="A529" s="36"/>
      <c r="B529" s="32" t="s">
        <v>482</v>
      </c>
      <c r="C529" s="22" t="str">
        <f>vlookup(B529,'재고 백업'!$A:$B,2,0)</f>
        <v>-</v>
      </c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  <c r="BW529" s="40"/>
    </row>
    <row r="530" ht="21.0" customHeight="1">
      <c r="A530" s="36"/>
      <c r="B530" s="29"/>
      <c r="C530" s="3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  <c r="BW530" s="40"/>
    </row>
    <row r="531" ht="21.0" customHeight="1">
      <c r="A531" s="36"/>
      <c r="B531" s="58" t="s">
        <v>483</v>
      </c>
      <c r="C531" s="58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  <c r="BW531" s="40"/>
    </row>
    <row r="532" ht="21.0" customHeight="1">
      <c r="A532" s="36"/>
      <c r="B532" s="26" t="s">
        <v>484</v>
      </c>
      <c r="C532" s="22">
        <f>vlookup(B532,'재고 백업'!$A:$B,2,0)</f>
        <v>102</v>
      </c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0"/>
    </row>
    <row r="533" ht="21.0" customHeight="1">
      <c r="A533" s="36"/>
      <c r="B533" s="26" t="s">
        <v>485</v>
      </c>
      <c r="C533" s="22">
        <f>vlookup(B533,'재고 백업'!$A:$B,2,0)</f>
        <v>456</v>
      </c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  <c r="BW533" s="40"/>
    </row>
    <row r="534" ht="21.0" customHeight="1">
      <c r="A534" s="36"/>
      <c r="B534" s="26" t="s">
        <v>486</v>
      </c>
      <c r="C534" s="22">
        <f>vlookup(B534,'재고 백업'!$A:$B,2,0)</f>
        <v>389</v>
      </c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  <c r="BW534" s="40"/>
    </row>
    <row r="535" ht="21.0" customHeight="1">
      <c r="A535" s="36"/>
      <c r="B535" s="26" t="s">
        <v>487</v>
      </c>
      <c r="C535" s="22">
        <f>vlookup(B535,'재고 백업'!$A:$B,2,0)</f>
        <v>177</v>
      </c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  <c r="BW535" s="40"/>
    </row>
    <row r="536" ht="21.0" customHeight="1">
      <c r="A536" s="36"/>
      <c r="B536" s="26" t="s">
        <v>488</v>
      </c>
      <c r="C536" s="22">
        <f>vlookup(B536,'재고 백업'!$A:$B,2,0)</f>
        <v>654</v>
      </c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  <c r="BW536" s="40"/>
    </row>
    <row r="537" ht="21.0" customHeight="1">
      <c r="A537" s="36"/>
      <c r="B537" s="26" t="s">
        <v>489</v>
      </c>
      <c r="C537" s="22">
        <f>vlookup(B537,'재고 백업'!$A:$B,2,0)</f>
        <v>140</v>
      </c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  <c r="BW537" s="40"/>
    </row>
    <row r="538" ht="21.0" customHeight="1">
      <c r="A538" s="36"/>
      <c r="B538" s="26" t="s">
        <v>490</v>
      </c>
      <c r="C538" s="22">
        <f>vlookup(B538,'재고 백업'!$A:$B,2,0)</f>
        <v>211</v>
      </c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  <c r="BW538" s="40"/>
    </row>
    <row r="539" ht="21.0" customHeight="1">
      <c r="A539" s="36"/>
      <c r="B539" s="26" t="s">
        <v>491</v>
      </c>
      <c r="C539" s="22">
        <f>vlookup(B539,'재고 백업'!$A:$B,2,0)</f>
        <v>193</v>
      </c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  <c r="BW539" s="40"/>
    </row>
    <row r="540" ht="21.0" customHeight="1">
      <c r="A540" s="36"/>
      <c r="B540" s="26" t="s">
        <v>492</v>
      </c>
      <c r="C540" s="22">
        <f>vlookup(B540,'재고 백업'!$A:$B,2,0)</f>
        <v>114</v>
      </c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  <c r="BW540" s="40"/>
    </row>
    <row r="541" ht="21.0" customHeight="1">
      <c r="A541" s="36"/>
      <c r="B541" s="26" t="s">
        <v>493</v>
      </c>
      <c r="C541" s="22">
        <f>vlookup(B541,'재고 백업'!$A:$B,2,0)</f>
        <v>132</v>
      </c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  <c r="BW541" s="40"/>
    </row>
    <row r="542" ht="21.0" customHeight="1">
      <c r="A542" s="36"/>
      <c r="B542" s="26" t="s">
        <v>494</v>
      </c>
      <c r="C542" s="22">
        <f>vlookup(B542,'재고 백업'!$A:$B,2,0)</f>
        <v>94</v>
      </c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  <c r="BW542" s="40"/>
    </row>
    <row r="543" ht="21.0" customHeight="1">
      <c r="A543" s="36"/>
      <c r="B543" s="26" t="s">
        <v>495</v>
      </c>
      <c r="C543" s="22">
        <f>vlookup(B543,'재고 백업'!$A:$B,2,0)</f>
        <v>103</v>
      </c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  <c r="BW543" s="40"/>
    </row>
    <row r="544" ht="21.0" customHeight="1">
      <c r="A544" s="36"/>
      <c r="B544" s="26" t="s">
        <v>496</v>
      </c>
      <c r="C544" s="22">
        <f>vlookup(B544,'재고 백업'!$A:$B,2,0)</f>
        <v>58</v>
      </c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  <c r="BW544" s="40"/>
    </row>
    <row r="545" ht="21.0" customHeight="1">
      <c r="A545" s="36"/>
      <c r="B545" s="26" t="s">
        <v>497</v>
      </c>
      <c r="C545" s="22">
        <f>vlookup(B545,'재고 백업'!$A:$B,2,0)</f>
        <v>35</v>
      </c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  <c r="BW545" s="40"/>
    </row>
    <row r="546" ht="21.0" customHeight="1">
      <c r="A546" s="36"/>
      <c r="B546" s="26" t="s">
        <v>498</v>
      </c>
      <c r="C546" s="22">
        <f>vlookup(B546,'재고 백업'!$A:$B,2,0)</f>
        <v>28</v>
      </c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  <c r="BW546" s="40"/>
    </row>
    <row r="547" ht="21.0" customHeight="1">
      <c r="A547" s="36"/>
      <c r="B547" s="26" t="s">
        <v>499</v>
      </c>
      <c r="C547" s="22">
        <f>vlookup(B547,'재고 백업'!$A:$B,2,0)</f>
        <v>87</v>
      </c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  <c r="BW547" s="40"/>
    </row>
    <row r="548" ht="21.0" customHeight="1">
      <c r="A548" s="36"/>
      <c r="B548" s="26" t="s">
        <v>500</v>
      </c>
      <c r="C548" s="22">
        <f>vlookup(B548,'재고 백업'!$A:$B,2,0)</f>
        <v>126</v>
      </c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  <c r="BW548" s="40"/>
    </row>
    <row r="549" ht="21.0" customHeight="1">
      <c r="A549" s="36"/>
      <c r="B549" s="26" t="s">
        <v>501</v>
      </c>
      <c r="C549" s="22" t="str">
        <f>vlookup(B549,'재고 백업'!$A:$B,2,0)</f>
        <v>-</v>
      </c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  <c r="BW549" s="40"/>
    </row>
    <row r="550" ht="21.0" customHeight="1">
      <c r="A550" s="36"/>
      <c r="B550" s="26" t="s">
        <v>502</v>
      </c>
      <c r="C550" s="22">
        <f>vlookup(B550,'재고 백업'!$A:$B,2,0)</f>
        <v>72</v>
      </c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  <c r="BW550" s="40"/>
    </row>
    <row r="551" ht="21.0" customHeight="1">
      <c r="A551" s="36"/>
      <c r="B551" s="26" t="s">
        <v>503</v>
      </c>
      <c r="C551" s="22">
        <f>vlookup(B551,'재고 백업'!$A:$B,2,0)</f>
        <v>98</v>
      </c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  <c r="BW551" s="40"/>
    </row>
    <row r="552" ht="21.0" customHeight="1">
      <c r="A552" s="36"/>
      <c r="B552" s="26" t="s">
        <v>504</v>
      </c>
      <c r="C552" s="22">
        <f>vlookup(B552,'재고 백업'!$A:$B,2,0)</f>
        <v>60</v>
      </c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  <c r="BW552" s="40"/>
    </row>
    <row r="553" ht="21.0" customHeight="1">
      <c r="A553" s="36"/>
      <c r="B553" s="26" t="s">
        <v>505</v>
      </c>
      <c r="C553" s="21" t="str">
        <f>vlookup(B553,'재고 백업'!$A:$B,2,0)</f>
        <v>#N/A</v>
      </c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  <c r="BW553" s="40"/>
    </row>
    <row r="554" ht="21.0" customHeight="1">
      <c r="A554" s="36"/>
      <c r="B554" s="26" t="s">
        <v>506</v>
      </c>
      <c r="C554" s="21" t="str">
        <f>vlookup(B554,'재고 백업'!$A:$B,2,0)</f>
        <v>#N/A</v>
      </c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  <c r="BW554" s="40"/>
    </row>
    <row r="555" ht="21.0" customHeight="1">
      <c r="A555" s="36"/>
      <c r="B555" s="26" t="s">
        <v>507</v>
      </c>
      <c r="C555" s="22">
        <f>vlookup(B555,'재고 백업'!$A:$B,2,0)</f>
        <v>25</v>
      </c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  <c r="BW555" s="40"/>
    </row>
    <row r="556" ht="21.0" customHeight="1">
      <c r="A556" s="36"/>
      <c r="B556" s="26" t="s">
        <v>508</v>
      </c>
      <c r="C556" s="22">
        <f>vlookup(B556,'재고 백업'!$A:$B,2,0)</f>
        <v>34</v>
      </c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  <c r="BW556" s="40"/>
    </row>
    <row r="557" ht="21.0" customHeight="1">
      <c r="A557" s="36"/>
      <c r="B557" s="26" t="s">
        <v>509</v>
      </c>
      <c r="C557" s="22">
        <f>vlookup(B557,'재고 백업'!$A:$B,2,0)</f>
        <v>47</v>
      </c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  <c r="BW557" s="40"/>
    </row>
    <row r="558" ht="21.0" customHeight="1">
      <c r="A558" s="12"/>
      <c r="B558" s="26" t="s">
        <v>510</v>
      </c>
      <c r="C558" s="22">
        <f>vlookup(B558,'재고 백업'!$A:$B,2,0)</f>
        <v>404</v>
      </c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  <c r="BW558" s="40"/>
    </row>
    <row r="559" ht="21.0" customHeight="1">
      <c r="A559" s="12"/>
      <c r="B559" s="26" t="s">
        <v>511</v>
      </c>
      <c r="C559" s="21" t="str">
        <f>vlookup(B559,'재고 백업'!$A:$B,2,0)</f>
        <v>#N/A</v>
      </c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  <c r="BW559" s="40"/>
    </row>
    <row r="560" ht="21.0" customHeight="1">
      <c r="A560" s="12"/>
      <c r="B560" s="24"/>
      <c r="C560" s="24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  <c r="BW560" s="40"/>
    </row>
    <row r="561" ht="21.0" customHeight="1">
      <c r="A561" s="12"/>
      <c r="B561" s="47" t="s">
        <v>512</v>
      </c>
      <c r="C561" s="47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  <c r="BW561" s="40"/>
    </row>
    <row r="562" ht="21.0" customHeight="1">
      <c r="A562" s="12"/>
      <c r="B562" s="21" t="s">
        <v>513</v>
      </c>
      <c r="C562" s="22" t="str">
        <f>vlookup(B562,'재고 백업'!$A:$B,2,0)</f>
        <v>-</v>
      </c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  <c r="BW562" s="40"/>
    </row>
    <row r="563" ht="21.0" customHeight="1">
      <c r="A563" s="12"/>
      <c r="B563" s="21" t="s">
        <v>514</v>
      </c>
      <c r="C563" s="22">
        <f>vlookup(B563,'재고 백업'!$A:$B,2,0)</f>
        <v>15</v>
      </c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  <c r="BW563" s="40"/>
    </row>
    <row r="564" ht="21.0" customHeight="1">
      <c r="A564" s="12"/>
      <c r="B564" s="21" t="s">
        <v>515</v>
      </c>
      <c r="C564" s="22">
        <f>vlookup(B564,'재고 백업'!$A:$B,2,0)</f>
        <v>15</v>
      </c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  <c r="BW564" s="40"/>
    </row>
    <row r="565" ht="21.0" customHeight="1">
      <c r="A565" s="12"/>
      <c r="B565" s="21" t="s">
        <v>516</v>
      </c>
      <c r="C565" s="22">
        <f>vlookup(B565,'재고 백업'!$A:$B,2,0)</f>
        <v>23</v>
      </c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  <c r="BW565" s="40"/>
    </row>
    <row r="566" ht="21.0" customHeight="1">
      <c r="A566" s="12"/>
      <c r="B566" s="21" t="s">
        <v>517</v>
      </c>
      <c r="C566" s="22">
        <f>vlookup(B566,'재고 백업'!$A:$B,2,0)</f>
        <v>5</v>
      </c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  <c r="BW566" s="40"/>
    </row>
    <row r="567" ht="21.0" customHeight="1">
      <c r="A567" s="12"/>
      <c r="B567" s="21" t="s">
        <v>518</v>
      </c>
      <c r="C567" s="22" t="str">
        <f>vlookup(B567,'재고 백업'!$A:$B,2,0)</f>
        <v>-</v>
      </c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  <c r="BW567" s="40"/>
    </row>
    <row r="568" ht="21.0" customHeight="1">
      <c r="A568" s="12"/>
      <c r="B568" s="21" t="s">
        <v>519</v>
      </c>
      <c r="C568" s="22">
        <f>vlookup(B568,'재고 백업'!$A:$B,2,0)</f>
        <v>10</v>
      </c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  <c r="BW568" s="40"/>
    </row>
    <row r="569" ht="21.0" customHeight="1">
      <c r="A569" s="12"/>
      <c r="B569" s="21" t="s">
        <v>520</v>
      </c>
      <c r="C569" s="22" t="str">
        <f>vlookup(B569,'재고 백업'!$A:$B,2,0)</f>
        <v>-</v>
      </c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  <c r="BW569" s="40"/>
    </row>
    <row r="570" ht="21.0" customHeight="1">
      <c r="A570" s="12"/>
      <c r="B570" s="21" t="s">
        <v>521</v>
      </c>
      <c r="C570" s="22" t="str">
        <f>vlookup(B570,'재고 백업'!$A:$B,2,0)</f>
        <v>-</v>
      </c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  <c r="BW570" s="40"/>
    </row>
    <row r="571" ht="21.0" customHeight="1">
      <c r="A571" s="12"/>
      <c r="B571" s="21" t="s">
        <v>522</v>
      </c>
      <c r="C571" s="22">
        <f>vlookup(B571,'재고 백업'!$A:$B,2,0)</f>
        <v>12</v>
      </c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  <c r="BW571" s="40"/>
    </row>
    <row r="572" ht="21.0" customHeight="1">
      <c r="A572" s="12"/>
      <c r="B572" s="21" t="s">
        <v>523</v>
      </c>
      <c r="C572" s="22" t="str">
        <f>vlookup(B572,'재고 백업'!$A:$B,2,0)</f>
        <v>-</v>
      </c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  <c r="BW572" s="40"/>
    </row>
    <row r="573" ht="21.0" customHeight="1">
      <c r="A573" s="12"/>
      <c r="B573" s="61" t="s">
        <v>524</v>
      </c>
      <c r="C573" s="22" t="str">
        <f>vlookup(B573,'재고 백업'!$A:$B,2,0)</f>
        <v>-</v>
      </c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  <c r="BW573" s="40"/>
    </row>
    <row r="574" ht="21.0" customHeight="1">
      <c r="A574" s="12"/>
      <c r="B574" s="44"/>
      <c r="C574" s="44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  <c r="BW574" s="40"/>
    </row>
    <row r="575" ht="21.0" customHeight="1">
      <c r="A575" s="12"/>
      <c r="B575" s="31" t="s">
        <v>525</v>
      </c>
      <c r="C575" s="51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  <c r="BW575" s="40"/>
    </row>
    <row r="576" ht="21.0" customHeight="1">
      <c r="A576" s="12"/>
      <c r="B576" s="32" t="s">
        <v>526</v>
      </c>
      <c r="C576" s="22">
        <f>vlookup(B576,'재고 백업'!$A:$B,2,0)</f>
        <v>20</v>
      </c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  <c r="BW576" s="40"/>
    </row>
    <row r="577" ht="21.0" customHeight="1">
      <c r="A577" s="12"/>
      <c r="B577" s="32" t="s">
        <v>527</v>
      </c>
      <c r="C577" s="22">
        <f>vlookup(B577,'재고 백업'!$A:$B,2,0)</f>
        <v>63</v>
      </c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  <c r="BW577" s="40"/>
    </row>
    <row r="578" ht="21.0" customHeight="1">
      <c r="A578" s="12"/>
      <c r="B578" s="32" t="s">
        <v>528</v>
      </c>
      <c r="C578" s="22">
        <f>vlookup(B578,'재고 백업'!$A:$B,2,0)</f>
        <v>97</v>
      </c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  <c r="BW578" s="40"/>
    </row>
    <row r="579" ht="21.0" customHeight="1">
      <c r="A579" s="36"/>
      <c r="B579" s="32" t="s">
        <v>529</v>
      </c>
      <c r="C579" s="22">
        <f>vlookup(B579,'재고 백업'!$A:$B,2,0)</f>
        <v>9</v>
      </c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  <c r="BW579" s="40"/>
    </row>
    <row r="580" ht="21.0" customHeight="1">
      <c r="A580" s="36"/>
      <c r="B580" s="32" t="s">
        <v>530</v>
      </c>
      <c r="C580" s="22">
        <f>vlookup(B580,'재고 백업'!$A:$B,2,0)</f>
        <v>46</v>
      </c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  <c r="BW580" s="40"/>
    </row>
    <row r="581" ht="21.0" customHeight="1">
      <c r="A581" s="36"/>
      <c r="B581" s="32" t="s">
        <v>531</v>
      </c>
      <c r="C581" s="22">
        <f>vlookup(B581,'재고 백업'!$A:$B,2,0)</f>
        <v>30</v>
      </c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  <c r="BW581" s="40"/>
    </row>
    <row r="582" ht="21.0" customHeight="1">
      <c r="A582" s="36"/>
      <c r="B582" s="32" t="s">
        <v>532</v>
      </c>
      <c r="C582" s="22" t="str">
        <f>vlookup(B582,'재고 백업'!$A:$B,2,0)</f>
        <v>-</v>
      </c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0"/>
    </row>
    <row r="583" ht="21.0" customHeight="1">
      <c r="A583" s="36"/>
      <c r="B583" s="32" t="s">
        <v>533</v>
      </c>
      <c r="C583" s="22">
        <f>vlookup(B583,'재고 백업'!$A:$B,2,0)</f>
        <v>21</v>
      </c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  <c r="BW583" s="40"/>
    </row>
    <row r="584" ht="21.0" customHeight="1">
      <c r="A584" s="36"/>
      <c r="B584" s="32" t="s">
        <v>534</v>
      </c>
      <c r="C584" s="22">
        <f>vlookup(B584,'재고 백업'!$A:$B,2,0)</f>
        <v>3</v>
      </c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  <c r="BW584" s="40"/>
    </row>
    <row r="585" ht="21.0" customHeight="1">
      <c r="A585" s="36"/>
      <c r="B585" s="32" t="s">
        <v>535</v>
      </c>
      <c r="C585" s="22">
        <f>vlookup(B585,'재고 백업'!$A:$B,2,0)</f>
        <v>288</v>
      </c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  <c r="BW585" s="40"/>
    </row>
    <row r="586" ht="21.0" customHeight="1">
      <c r="A586" s="36"/>
      <c r="B586" s="32" t="s">
        <v>536</v>
      </c>
      <c r="C586" s="22">
        <f>vlookup(B586,'재고 백업'!$A:$B,2,0)</f>
        <v>234</v>
      </c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  <c r="BW586" s="40"/>
    </row>
    <row r="587" ht="21.0" customHeight="1">
      <c r="A587" s="36"/>
      <c r="B587" s="32" t="s">
        <v>537</v>
      </c>
      <c r="C587" s="22">
        <f>vlookup(B587,'재고 백업'!$A:$B,2,0)</f>
        <v>70</v>
      </c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  <c r="BW587" s="40"/>
    </row>
    <row r="588" ht="21.0" customHeight="1">
      <c r="A588" s="36"/>
      <c r="B588" s="32" t="s">
        <v>538</v>
      </c>
      <c r="C588" s="22">
        <f>vlookup(B588,'재고 백업'!$A:$B,2,0)</f>
        <v>88</v>
      </c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  <c r="BW588" s="40"/>
    </row>
    <row r="589" ht="21.0" customHeight="1">
      <c r="A589" s="36"/>
      <c r="B589" s="32" t="s">
        <v>539</v>
      </c>
      <c r="C589" s="22">
        <f>vlookup(B589,'재고 백업'!$A:$B,2,0)</f>
        <v>39</v>
      </c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  <c r="BW589" s="40"/>
    </row>
    <row r="590" ht="21.0" customHeight="1">
      <c r="A590" s="36"/>
      <c r="B590" s="32" t="s">
        <v>540</v>
      </c>
      <c r="C590" s="22">
        <f>vlookup(B590,'재고 백업'!$A:$B,2,0)</f>
        <v>5</v>
      </c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  <c r="BW590" s="40"/>
    </row>
    <row r="591" ht="21.0" customHeight="1">
      <c r="A591" s="36"/>
      <c r="B591" s="32" t="s">
        <v>541</v>
      </c>
      <c r="C591" s="22">
        <f>vlookup(B591,'재고 백업'!$A:$B,2,0)</f>
        <v>11</v>
      </c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  <c r="BW591" s="40"/>
    </row>
    <row r="592" ht="21.0" customHeight="1">
      <c r="A592" s="36"/>
      <c r="B592" s="32" t="s">
        <v>542</v>
      </c>
      <c r="C592" s="22" t="str">
        <f>vlookup(B592,'재고 백업'!$A:$B,2,0)</f>
        <v>-</v>
      </c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  <c r="BW592" s="40"/>
    </row>
    <row r="593" ht="21.0" customHeight="1">
      <c r="A593" s="36"/>
      <c r="B593" s="32" t="s">
        <v>543</v>
      </c>
      <c r="C593" s="22">
        <f>vlookup(B593,'재고 백업'!$A:$B,2,0)</f>
        <v>34</v>
      </c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  <c r="BW593" s="40"/>
    </row>
    <row r="594" ht="21.0" customHeight="1">
      <c r="A594" s="36"/>
      <c r="B594" s="32" t="s">
        <v>544</v>
      </c>
      <c r="C594" s="22">
        <f>vlookup(B594,'재고 백업'!$A:$B,2,0)</f>
        <v>177</v>
      </c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  <c r="BW594" s="40"/>
    </row>
    <row r="595" ht="21.0" customHeight="1">
      <c r="A595" s="12"/>
      <c r="B595" s="32" t="s">
        <v>545</v>
      </c>
      <c r="C595" s="22">
        <f>vlookup(B595,'재고 백업'!$A:$B,2,0)</f>
        <v>71</v>
      </c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  <c r="BW595" s="40"/>
    </row>
    <row r="596" ht="21.0" customHeight="1">
      <c r="A596" s="12"/>
      <c r="B596" s="32" t="s">
        <v>546</v>
      </c>
      <c r="C596" s="22">
        <f>vlookup(B596,'재고 백업'!$A:$B,2,0)</f>
        <v>33</v>
      </c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  <c r="BW596" s="40"/>
    </row>
    <row r="597" ht="21.0" customHeight="1">
      <c r="A597" s="12"/>
      <c r="B597" s="32" t="s">
        <v>547</v>
      </c>
      <c r="C597" s="22">
        <f>vlookup(B597,'재고 백업'!$A:$B,2,0)</f>
        <v>49</v>
      </c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  <c r="BW597" s="40"/>
    </row>
    <row r="598" ht="21.0" customHeight="1">
      <c r="A598" s="12"/>
      <c r="B598" s="32" t="s">
        <v>548</v>
      </c>
      <c r="C598" s="22">
        <f>vlookup(B598,'재고 백업'!$A:$B,2,0)</f>
        <v>13</v>
      </c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  <c r="BW598" s="40"/>
    </row>
    <row r="599" ht="21.0" customHeight="1">
      <c r="A599" s="12"/>
      <c r="B599" s="32" t="s">
        <v>549</v>
      </c>
      <c r="C599" s="22">
        <f>vlookup(B599,'재고 백업'!$A:$B,2,0)</f>
        <v>178</v>
      </c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  <c r="BW599" s="40"/>
    </row>
    <row r="600" ht="21.0" customHeight="1">
      <c r="A600" s="12"/>
      <c r="B600" s="32" t="s">
        <v>550</v>
      </c>
      <c r="C600" s="22" t="str">
        <f>vlookup(B600,'재고 백업'!$A:$B,2,0)</f>
        <v>-</v>
      </c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  <c r="BW600" s="40"/>
    </row>
    <row r="601" ht="21.0" customHeight="1">
      <c r="A601" s="12"/>
      <c r="B601" s="32" t="s">
        <v>551</v>
      </c>
      <c r="C601" s="22">
        <f>vlookup(B601,'재고 백업'!$A:$B,2,0)</f>
        <v>57</v>
      </c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  <c r="BW601" s="40"/>
    </row>
    <row r="602" ht="21.0" customHeight="1">
      <c r="A602" s="12"/>
      <c r="B602" s="32" t="s">
        <v>552</v>
      </c>
      <c r="C602" s="22">
        <f>vlookup(B602,'재고 백업'!$A:$B,2,0)</f>
        <v>198</v>
      </c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  <c r="BW602" s="40"/>
    </row>
    <row r="603" ht="21.0" customHeight="1">
      <c r="A603" s="12"/>
      <c r="B603" s="32" t="s">
        <v>553</v>
      </c>
      <c r="C603" s="22" t="str">
        <f>vlookup(B603,'재고 백업'!$A:$B,2,0)</f>
        <v>-</v>
      </c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</row>
    <row r="604" ht="21.0" customHeight="1">
      <c r="A604" s="12"/>
      <c r="B604" s="32" t="s">
        <v>554</v>
      </c>
      <c r="C604" s="22">
        <f>vlookup(B604,'재고 백업'!$A:$B,2,0)</f>
        <v>101</v>
      </c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</row>
    <row r="605" ht="21.0" customHeight="1">
      <c r="A605" s="12"/>
      <c r="B605" s="32" t="s">
        <v>555</v>
      </c>
      <c r="C605" s="22">
        <f>vlookup(B605,'재고 백업'!$A:$B,2,0)</f>
        <v>144</v>
      </c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</row>
    <row r="606" ht="21.0" customHeight="1">
      <c r="A606" s="12"/>
      <c r="B606" s="32" t="s">
        <v>556</v>
      </c>
      <c r="C606" s="22">
        <f>vlookup(B606,'재고 백업'!$A:$B,2,0)</f>
        <v>130</v>
      </c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</row>
    <row r="607" ht="21.0" customHeight="1">
      <c r="A607" s="12"/>
      <c r="B607" s="32" t="s">
        <v>557</v>
      </c>
      <c r="C607" s="22">
        <f>vlookup(B607,'재고 백업'!$A:$B,2,0)</f>
        <v>16</v>
      </c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</row>
    <row r="608" ht="21.0" customHeight="1">
      <c r="A608" s="12"/>
      <c r="B608" s="32" t="s">
        <v>558</v>
      </c>
      <c r="C608" s="22">
        <f>vlookup(B608,'재고 백업'!$A:$B,2,0)</f>
        <v>20</v>
      </c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</row>
    <row r="609" ht="21.0" customHeight="1">
      <c r="A609" s="12"/>
      <c r="B609" s="32" t="s">
        <v>559</v>
      </c>
      <c r="C609" s="22">
        <f>vlookup(B609,'재고 백업'!$A:$B,2,0)</f>
        <v>16</v>
      </c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</row>
    <row r="610" ht="21.0" customHeight="1">
      <c r="A610" s="12"/>
      <c r="B610" s="32" t="s">
        <v>560</v>
      </c>
      <c r="C610" s="22">
        <f>vlookup(B610,'재고 백업'!$A:$B,2,0)</f>
        <v>9</v>
      </c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7"/>
      <c r="BU610" s="37"/>
      <c r="BV610" s="37"/>
      <c r="BW610" s="37"/>
    </row>
    <row r="611" ht="21.0" customHeight="1">
      <c r="A611" s="12"/>
      <c r="B611" s="32" t="s">
        <v>561</v>
      </c>
      <c r="C611" s="22">
        <f>vlookup(B611,'재고 백업'!$A:$B,2,0)</f>
        <v>55</v>
      </c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7"/>
      <c r="BU611" s="37"/>
      <c r="BV611" s="37"/>
      <c r="BW611" s="37"/>
    </row>
    <row r="612" ht="21.0" customHeight="1">
      <c r="A612" s="12"/>
      <c r="B612" s="32" t="s">
        <v>562</v>
      </c>
      <c r="C612" s="22">
        <f>vlookup(B612,'재고 백업'!$A:$B,2,0)</f>
        <v>55</v>
      </c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7"/>
      <c r="BU612" s="37"/>
      <c r="BV612" s="37"/>
      <c r="BW612" s="37"/>
    </row>
    <row r="613" ht="21.0" customHeight="1">
      <c r="A613" s="12"/>
      <c r="B613" s="32" t="s">
        <v>563</v>
      </c>
      <c r="C613" s="22">
        <f>vlookup(B613,'재고 백업'!$A:$B,2,0)</f>
        <v>23</v>
      </c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7"/>
      <c r="BU613" s="37"/>
      <c r="BV613" s="37"/>
      <c r="BW613" s="37"/>
    </row>
    <row r="614" ht="21.0" customHeight="1">
      <c r="A614" s="12"/>
      <c r="B614" s="32" t="s">
        <v>564</v>
      </c>
      <c r="C614" s="22">
        <f>vlookup(B614,'재고 백업'!$A:$B,2,0)</f>
        <v>7</v>
      </c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7"/>
      <c r="BQ614" s="37"/>
      <c r="BR614" s="37"/>
      <c r="BS614" s="37"/>
      <c r="BT614" s="37"/>
      <c r="BU614" s="37"/>
      <c r="BV614" s="37"/>
      <c r="BW614" s="37"/>
    </row>
    <row r="615" ht="21.0" customHeight="1">
      <c r="A615" s="12"/>
      <c r="B615" s="32" t="s">
        <v>565</v>
      </c>
      <c r="C615" s="22">
        <f>vlookup(B615,'재고 백업'!$A:$B,2,0)</f>
        <v>20</v>
      </c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7"/>
      <c r="BU615" s="37"/>
      <c r="BV615" s="37"/>
      <c r="BW615" s="37"/>
    </row>
    <row r="616" ht="21.0" customHeight="1">
      <c r="A616" s="12"/>
      <c r="B616" s="32" t="s">
        <v>566</v>
      </c>
      <c r="C616" s="22">
        <f>vlookup(B616,'재고 백업'!$A:$B,2,0)</f>
        <v>9</v>
      </c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7"/>
      <c r="BQ616" s="37"/>
      <c r="BR616" s="37"/>
      <c r="BS616" s="37"/>
      <c r="BT616" s="37"/>
      <c r="BU616" s="37"/>
      <c r="BV616" s="37"/>
      <c r="BW616" s="37"/>
    </row>
    <row r="617" ht="21.0" customHeight="1">
      <c r="A617" s="12"/>
      <c r="B617" s="32" t="s">
        <v>567</v>
      </c>
      <c r="C617" s="22">
        <f>vlookup(B617,'재고 백업'!$A:$B,2,0)</f>
        <v>1</v>
      </c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7"/>
      <c r="BU617" s="37"/>
      <c r="BV617" s="37"/>
      <c r="BW617" s="37"/>
    </row>
    <row r="618" ht="21.0" customHeight="1">
      <c r="A618" s="12"/>
      <c r="B618" s="32" t="s">
        <v>568</v>
      </c>
      <c r="C618" s="22">
        <f>vlookup(B618,'재고 백업'!$A:$B,2,0)</f>
        <v>6</v>
      </c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7"/>
      <c r="BU618" s="37"/>
      <c r="BV618" s="37"/>
      <c r="BW618" s="37"/>
    </row>
    <row r="619" ht="21.0" customHeight="1">
      <c r="A619" s="12"/>
      <c r="B619" s="32" t="s">
        <v>569</v>
      </c>
      <c r="C619" s="22">
        <f>vlookup(B619,'재고 백업'!$A:$B,2,0)</f>
        <v>10</v>
      </c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7"/>
      <c r="BU619" s="37"/>
      <c r="BV619" s="37"/>
      <c r="BW619" s="37"/>
    </row>
    <row r="620" ht="21.0" customHeight="1">
      <c r="A620" s="12"/>
      <c r="B620" s="32" t="s">
        <v>570</v>
      </c>
      <c r="C620" s="22">
        <f>vlookup(B620,'재고 백업'!$A:$B,2,0)</f>
        <v>47</v>
      </c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7"/>
      <c r="BU620" s="37"/>
      <c r="BV620" s="37"/>
      <c r="BW620" s="37"/>
    </row>
    <row r="621" ht="21.0" customHeight="1">
      <c r="A621" s="12"/>
      <c r="B621" s="32" t="s">
        <v>571</v>
      </c>
      <c r="C621" s="22">
        <f>vlookup(B621,'재고 백업'!$A:$B,2,0)</f>
        <v>10</v>
      </c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7"/>
      <c r="BU621" s="37"/>
      <c r="BV621" s="37"/>
      <c r="BW621" s="37"/>
    </row>
    <row r="622" ht="21.0" customHeight="1">
      <c r="A622" s="12"/>
      <c r="B622" s="32" t="s">
        <v>572</v>
      </c>
      <c r="C622" s="22">
        <f>vlookup(B622,'재고 백업'!$A:$B,2,0)</f>
        <v>16</v>
      </c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  <c r="BW622" s="37"/>
    </row>
    <row r="623" ht="21.0" customHeight="1">
      <c r="A623" s="12"/>
      <c r="B623" s="32" t="s">
        <v>573</v>
      </c>
      <c r="C623" s="22">
        <f>vlookup(B623,'재고 백업'!$A:$B,2,0)</f>
        <v>14</v>
      </c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7"/>
      <c r="BU623" s="37"/>
      <c r="BV623" s="37"/>
      <c r="BW623" s="37"/>
    </row>
    <row r="624" ht="21.0" customHeight="1">
      <c r="A624" s="12"/>
      <c r="B624" s="32" t="s">
        <v>574</v>
      </c>
      <c r="C624" s="22">
        <f>vlookup(B624,'재고 백업'!$A:$B,2,0)</f>
        <v>8</v>
      </c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7"/>
      <c r="BU624" s="37"/>
      <c r="BV624" s="37"/>
      <c r="BW624" s="37"/>
    </row>
    <row r="625" ht="21.0" customHeight="1">
      <c r="A625" s="12"/>
      <c r="B625" s="32" t="s">
        <v>575</v>
      </c>
      <c r="C625" s="22">
        <f>vlookup(B625,'재고 백업'!$A:$B,2,0)</f>
        <v>12</v>
      </c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7"/>
      <c r="BQ625" s="37"/>
      <c r="BR625" s="37"/>
      <c r="BS625" s="37"/>
      <c r="BT625" s="37"/>
      <c r="BU625" s="37"/>
      <c r="BV625" s="37"/>
      <c r="BW625" s="37"/>
    </row>
    <row r="626" ht="21.0" customHeight="1">
      <c r="A626" s="12"/>
      <c r="B626" s="32" t="s">
        <v>576</v>
      </c>
      <c r="C626" s="22">
        <f>vlookup(B626,'재고 백업'!$A:$B,2,0)</f>
        <v>19</v>
      </c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7"/>
      <c r="BU626" s="37"/>
      <c r="BV626" s="37"/>
      <c r="BW626" s="37"/>
    </row>
    <row r="627" ht="21.0" customHeight="1">
      <c r="A627" s="12"/>
      <c r="B627" s="32" t="s">
        <v>577</v>
      </c>
      <c r="C627" s="22">
        <f>vlookup(B627,'재고 백업'!$A:$B,2,0)</f>
        <v>8</v>
      </c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7"/>
      <c r="BU627" s="37"/>
      <c r="BV627" s="37"/>
      <c r="BW627" s="37"/>
    </row>
    <row r="628" ht="21.0" customHeight="1">
      <c r="A628" s="36"/>
      <c r="B628" s="29"/>
      <c r="C628" s="2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</row>
    <row r="629" ht="21.0" customHeight="1">
      <c r="A629" s="36"/>
      <c r="B629" s="42" t="s">
        <v>578</v>
      </c>
      <c r="C629" s="42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</row>
    <row r="630" ht="21.0" customHeight="1">
      <c r="A630" s="36"/>
      <c r="B630" s="32" t="s">
        <v>579</v>
      </c>
      <c r="C630" s="22" t="str">
        <f>vlookup(B630,'재고 백업'!$A:$B,2,0)</f>
        <v>-</v>
      </c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</row>
    <row r="631" ht="21.0" customHeight="1">
      <c r="A631" s="36"/>
      <c r="B631" s="29"/>
      <c r="C631" s="2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</row>
    <row r="632" ht="21.0" customHeight="1">
      <c r="A632" s="36"/>
      <c r="B632" s="28" t="s">
        <v>580</v>
      </c>
      <c r="C632" s="28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</row>
    <row r="633" ht="21.0" customHeight="1">
      <c r="A633" s="36"/>
      <c r="B633" s="32" t="s">
        <v>581</v>
      </c>
      <c r="C633" s="22">
        <f>vlookup(B633,'재고 백업'!$A:$B,2,0)</f>
        <v>118</v>
      </c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</row>
    <row r="634" ht="21.0" customHeight="1">
      <c r="A634" s="36"/>
      <c r="B634" s="32" t="s">
        <v>582</v>
      </c>
      <c r="C634" s="22">
        <f>vlookup(B634,'재고 백업'!$A:$B,2,0)</f>
        <v>50</v>
      </c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</row>
    <row r="635" ht="21.0" customHeight="1">
      <c r="A635" s="36"/>
      <c r="B635" s="32" t="s">
        <v>583</v>
      </c>
      <c r="C635" s="22">
        <f>vlookup(B635,'재고 백업'!$A:$B,2,0)</f>
        <v>43</v>
      </c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</row>
    <row r="636" ht="21.0" customHeight="1">
      <c r="A636" s="36"/>
      <c r="B636" s="32" t="s">
        <v>584</v>
      </c>
      <c r="C636" s="22">
        <f>vlookup(B636,'재고 백업'!$A:$B,2,0)</f>
        <v>18</v>
      </c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</row>
    <row r="637" ht="21.0" customHeight="1">
      <c r="A637" s="36"/>
      <c r="B637" s="32" t="s">
        <v>585</v>
      </c>
      <c r="C637" s="22">
        <f>vlookup(B637,'재고 백업'!$A:$B,2,0)</f>
        <v>131</v>
      </c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</row>
    <row r="638" ht="21.0" customHeight="1">
      <c r="A638" s="36"/>
      <c r="B638" s="32" t="s">
        <v>586</v>
      </c>
      <c r="C638" s="22">
        <f>vlookup(B638,'재고 백업'!$A:$B,2,0)</f>
        <v>24</v>
      </c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</row>
    <row r="639" ht="21.0" customHeight="1">
      <c r="A639" s="36"/>
      <c r="B639" s="32" t="s">
        <v>587</v>
      </c>
      <c r="C639" s="22">
        <f>vlookup(B639,'재고 백업'!$A:$B,2,0)</f>
        <v>68</v>
      </c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</row>
    <row r="640" ht="21.0" customHeight="1">
      <c r="A640" s="36"/>
      <c r="B640" s="32" t="s">
        <v>588</v>
      </c>
      <c r="C640" s="22">
        <f>vlookup(B640,'재고 백업'!$A:$B,2,0)</f>
        <v>98</v>
      </c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</row>
    <row r="641" ht="21.0" customHeight="1">
      <c r="A641" s="36"/>
      <c r="B641" s="32" t="s">
        <v>589</v>
      </c>
      <c r="C641" s="22">
        <f>vlookup(B641,'재고 백업'!$A:$B,2,0)</f>
        <v>5</v>
      </c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</row>
    <row r="642" ht="21.0" customHeight="1">
      <c r="A642" s="36"/>
      <c r="B642" s="32" t="s">
        <v>590</v>
      </c>
      <c r="C642" s="22">
        <f>vlookup(B642,'재고 백업'!$A:$B,2,0)</f>
        <v>31</v>
      </c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</row>
    <row r="643" ht="21.0" customHeight="1">
      <c r="A643" s="36"/>
      <c r="B643" s="32" t="s">
        <v>591</v>
      </c>
      <c r="C643" s="22">
        <f>vlookup(B643,'재고 백업'!$A:$B,2,0)</f>
        <v>156</v>
      </c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</row>
    <row r="644" ht="21.0" customHeight="1">
      <c r="A644" s="36"/>
      <c r="B644" s="29"/>
      <c r="C644" s="2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</row>
    <row r="645" ht="21.0" customHeight="1">
      <c r="A645" s="36"/>
      <c r="B645" s="42" t="s">
        <v>592</v>
      </c>
      <c r="C645" s="42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</row>
    <row r="646" ht="21.0" customHeight="1">
      <c r="A646" s="36"/>
      <c r="B646" s="32" t="s">
        <v>593</v>
      </c>
      <c r="C646" s="22" t="str">
        <f>vlookup(B646,'재고 백업'!$A:$B,2,0)</f>
        <v>-</v>
      </c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</row>
    <row r="647" ht="21.0" customHeight="1">
      <c r="A647" s="36"/>
      <c r="B647" s="32" t="s">
        <v>594</v>
      </c>
      <c r="C647" s="22" t="str">
        <f>vlookup(B647,'재고 백업'!$A:$B,2,0)</f>
        <v>-</v>
      </c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</row>
    <row r="648" ht="21.0" customHeight="1">
      <c r="A648" s="36"/>
      <c r="B648" s="29"/>
      <c r="C648" s="2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</row>
    <row r="649" ht="21.0" customHeight="1">
      <c r="A649" s="36"/>
      <c r="B649" s="42" t="s">
        <v>595</v>
      </c>
      <c r="C649" s="42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</row>
    <row r="650" ht="21.0" customHeight="1">
      <c r="A650" s="36"/>
      <c r="B650" s="32" t="s">
        <v>596</v>
      </c>
      <c r="C650" s="22">
        <f>vlookup(B650,'재고 백업'!$A:$B,2,0)</f>
        <v>100</v>
      </c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</row>
    <row r="651" ht="21.0" customHeight="1">
      <c r="A651" s="36"/>
      <c r="B651" s="29"/>
      <c r="C651" s="2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</row>
    <row r="652" ht="21.0" customHeight="1">
      <c r="A652" s="36"/>
      <c r="B652" s="42" t="s">
        <v>597</v>
      </c>
      <c r="C652" s="42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</row>
    <row r="653" ht="21.0" customHeight="1">
      <c r="A653" s="36"/>
      <c r="B653" s="32" t="s">
        <v>598</v>
      </c>
      <c r="C653" s="22" t="str">
        <f>vlookup(B653,'재고 백업'!$A:$B,2,0)</f>
        <v>-</v>
      </c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</row>
    <row r="654" ht="21.0" customHeight="1">
      <c r="A654" s="36"/>
      <c r="B654" s="32" t="s">
        <v>599</v>
      </c>
      <c r="C654" s="22" t="str">
        <f>vlookup(B654,'재고 백업'!$A:$B,2,0)</f>
        <v>-</v>
      </c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</row>
    <row r="655" ht="21.0" customHeight="1">
      <c r="A655" s="36"/>
      <c r="B655" s="29"/>
      <c r="C655" s="2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</row>
    <row r="656" ht="21.0" customHeight="1">
      <c r="A656" s="36"/>
      <c r="B656" s="42" t="s">
        <v>600</v>
      </c>
      <c r="C656" s="42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</row>
    <row r="657" ht="21.0" customHeight="1">
      <c r="A657" s="36"/>
      <c r="B657" s="32" t="s">
        <v>601</v>
      </c>
      <c r="C657" s="22">
        <f>vlookup(B657,'재고 백업'!$A:$B,2,0)</f>
        <v>36</v>
      </c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</row>
    <row r="658" ht="21.0" customHeight="1">
      <c r="A658" s="36"/>
      <c r="B658" s="32" t="s">
        <v>602</v>
      </c>
      <c r="C658" s="22" t="str">
        <f>vlookup(B658,'재고 백업'!$A:$B,2,0)</f>
        <v>-</v>
      </c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</row>
    <row r="659" ht="21.0" customHeight="1">
      <c r="A659" s="36"/>
      <c r="B659" s="32" t="s">
        <v>603</v>
      </c>
      <c r="C659" s="22">
        <f>vlookup(B659,'재고 백업'!$A:$B,2,0)</f>
        <v>14</v>
      </c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</row>
    <row r="660" ht="21.0" customHeight="1">
      <c r="A660" s="36"/>
      <c r="B660" s="32" t="s">
        <v>604</v>
      </c>
      <c r="C660" s="22">
        <f>vlookup(B660,'재고 백업'!$A:$B,2,0)</f>
        <v>23</v>
      </c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</row>
    <row r="661" ht="21.0" customHeight="1">
      <c r="A661" s="36"/>
      <c r="B661" s="32" t="s">
        <v>605</v>
      </c>
      <c r="C661" s="22">
        <f>vlookup(B661,'재고 백업'!$A:$B,2,0)</f>
        <v>23</v>
      </c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</row>
    <row r="662" ht="21.0" customHeight="1">
      <c r="A662" s="36"/>
      <c r="B662" s="32" t="s">
        <v>606</v>
      </c>
      <c r="C662" s="22">
        <f>vlookup(B662,'재고 백업'!$A:$B,2,0)</f>
        <v>15</v>
      </c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</row>
    <row r="663" ht="21.0" customHeight="1">
      <c r="A663" s="36"/>
      <c r="B663" s="32" t="s">
        <v>607</v>
      </c>
      <c r="C663" s="22">
        <f>vlookup(B663,'재고 백업'!$A:$B,2,0)</f>
        <v>4</v>
      </c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</row>
    <row r="664" ht="21.0" customHeight="1">
      <c r="A664" s="36"/>
      <c r="B664" s="32" t="s">
        <v>608</v>
      </c>
      <c r="C664" s="22">
        <f>vlookup(B664,'재고 백업'!$A:$B,2,0)</f>
        <v>170</v>
      </c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</row>
    <row r="665" ht="21.0" customHeight="1">
      <c r="A665" s="36"/>
      <c r="B665" s="32" t="s">
        <v>609</v>
      </c>
      <c r="C665" s="22">
        <f>vlookup(B665,'재고 백업'!$A:$B,2,0)</f>
        <v>10</v>
      </c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</row>
    <row r="666" ht="21.0" customHeight="1">
      <c r="A666" s="36"/>
      <c r="B666" s="32" t="s">
        <v>610</v>
      </c>
      <c r="C666" s="22">
        <f>vlookup(B666,'재고 백업'!$A:$B,2,0)</f>
        <v>8</v>
      </c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</row>
    <row r="667" ht="21.0" customHeight="1">
      <c r="A667" s="36"/>
      <c r="B667" s="32" t="s">
        <v>611</v>
      </c>
      <c r="C667" s="22">
        <f>vlookup(B667,'재고 백업'!$A:$B,2,0)</f>
        <v>12</v>
      </c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</row>
    <row r="668" ht="21.0" customHeight="1">
      <c r="A668" s="36"/>
      <c r="B668" s="32" t="s">
        <v>612</v>
      </c>
      <c r="C668" s="22">
        <f>vlookup(B668,'재고 백업'!$A:$B,2,0)</f>
        <v>11</v>
      </c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</row>
    <row r="669" ht="21.0" customHeight="1">
      <c r="A669" s="36"/>
      <c r="B669" s="32" t="s">
        <v>613</v>
      </c>
      <c r="C669" s="22">
        <f>vlookup(B669,'재고 백업'!$A:$B,2,0)</f>
        <v>12</v>
      </c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</row>
    <row r="670" ht="21.0" customHeight="1">
      <c r="A670" s="36"/>
      <c r="B670" s="32" t="s">
        <v>614</v>
      </c>
      <c r="C670" s="22">
        <f>vlookup(B670,'재고 백업'!$A:$B,2,0)</f>
        <v>12</v>
      </c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</row>
    <row r="671" ht="21.0" customHeight="1">
      <c r="A671" s="36"/>
      <c r="B671" s="32" t="s">
        <v>615</v>
      </c>
      <c r="C671" s="22">
        <f>vlookup(B671,'재고 백업'!$A:$B,2,0)</f>
        <v>5</v>
      </c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</row>
    <row r="672" ht="21.0" customHeight="1">
      <c r="A672" s="36"/>
      <c r="B672" s="32" t="s">
        <v>616</v>
      </c>
      <c r="C672" s="22">
        <f>vlookup(B672,'재고 백업'!$A:$B,2,0)</f>
        <v>6</v>
      </c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</row>
    <row r="673" ht="21.0" customHeight="1">
      <c r="A673" s="36"/>
      <c r="B673" s="32" t="s">
        <v>617</v>
      </c>
      <c r="C673" s="22">
        <f>vlookup(B673,'재고 백업'!$A:$B,2,0)</f>
        <v>2</v>
      </c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</row>
    <row r="674" ht="21.0" customHeight="1">
      <c r="A674" s="36"/>
      <c r="B674" s="32" t="s">
        <v>618</v>
      </c>
      <c r="C674" s="22">
        <f>vlookup(B674,'재고 백업'!$A:$B,2,0)</f>
        <v>6</v>
      </c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</row>
    <row r="675" ht="21.0" customHeight="1">
      <c r="A675" s="36"/>
      <c r="B675" s="29"/>
      <c r="C675" s="2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</row>
    <row r="676" ht="21.0" customHeight="1">
      <c r="A676" s="36"/>
      <c r="B676" s="29"/>
      <c r="C676" s="2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</row>
    <row r="677" ht="21.0" customHeight="1">
      <c r="A677" s="36"/>
      <c r="B677" s="41" t="s">
        <v>619</v>
      </c>
      <c r="C677" s="4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</row>
    <row r="678" ht="21.0" customHeight="1">
      <c r="A678" s="12"/>
      <c r="B678" s="32" t="s">
        <v>620</v>
      </c>
      <c r="C678" s="22">
        <f>vlookup(B678,'재고 백업'!$A:$B,2,0)</f>
        <v>77</v>
      </c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</row>
    <row r="679" ht="21.0" customHeight="1">
      <c r="A679" s="12"/>
      <c r="B679" s="32" t="s">
        <v>621</v>
      </c>
      <c r="C679" s="22">
        <f>vlookup(B679,'재고 백업'!$A:$B,2,0)</f>
        <v>12</v>
      </c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7"/>
      <c r="BU679" s="37"/>
      <c r="BV679" s="37"/>
      <c r="BW679" s="37"/>
    </row>
    <row r="680" ht="21.0" customHeight="1">
      <c r="A680" s="12"/>
      <c r="B680" s="32" t="s">
        <v>622</v>
      </c>
      <c r="C680" s="22">
        <f>vlookup(B680,'재고 백업'!$A:$B,2,0)</f>
        <v>164</v>
      </c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7"/>
      <c r="BU680" s="37"/>
      <c r="BV680" s="37"/>
      <c r="BW680" s="37"/>
    </row>
    <row r="681" ht="21.0" customHeight="1">
      <c r="A681" s="12"/>
      <c r="B681" s="32" t="s">
        <v>623</v>
      </c>
      <c r="C681" s="22">
        <f>vlookup(B681,'재고 백업'!$A:$B,2,0)</f>
        <v>102</v>
      </c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  <c r="BW681" s="40"/>
    </row>
    <row r="682" ht="21.0" customHeight="1">
      <c r="A682" s="12"/>
      <c r="B682" s="32" t="s">
        <v>624</v>
      </c>
      <c r="C682" s="22">
        <f>vlookup(B682,'재고 백업'!$A:$B,2,0)</f>
        <v>88</v>
      </c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  <c r="BW682" s="40"/>
    </row>
    <row r="683" ht="21.0" customHeight="1">
      <c r="A683" s="12"/>
      <c r="B683" s="32" t="s">
        <v>625</v>
      </c>
      <c r="C683" s="22">
        <f>vlookup(B683,'재고 백업'!$A:$B,2,0)</f>
        <v>195</v>
      </c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</row>
    <row r="684" ht="21.0" customHeight="1">
      <c r="A684" s="12"/>
      <c r="B684" s="32" t="s">
        <v>626</v>
      </c>
      <c r="C684" s="22">
        <f>vlookup(B684,'재고 백업'!$A:$B,2,0)</f>
        <v>23</v>
      </c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7"/>
      <c r="BU684" s="37"/>
      <c r="BV684" s="37"/>
      <c r="BW684" s="37"/>
    </row>
    <row r="685" ht="21.0" customHeight="1">
      <c r="A685" s="12"/>
      <c r="B685" s="32" t="s">
        <v>627</v>
      </c>
      <c r="C685" s="22">
        <f>vlookup(B685,'재고 백업'!$A:$B,2,0)</f>
        <v>267</v>
      </c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7"/>
      <c r="BQ685" s="37"/>
      <c r="BR685" s="37"/>
      <c r="BS685" s="37"/>
      <c r="BT685" s="37"/>
      <c r="BU685" s="37"/>
      <c r="BV685" s="37"/>
      <c r="BW685" s="37"/>
    </row>
    <row r="686" ht="21.0" customHeight="1">
      <c r="A686" s="12"/>
      <c r="B686" s="32" t="s">
        <v>628</v>
      </c>
      <c r="C686" s="22" t="str">
        <f>vlookup(B686,'재고 백업'!$A:$B,2,0)</f>
        <v>-</v>
      </c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7"/>
      <c r="BQ686" s="37"/>
      <c r="BR686" s="37"/>
      <c r="BS686" s="37"/>
      <c r="BT686" s="37"/>
      <c r="BU686" s="37"/>
      <c r="BV686" s="37"/>
      <c r="BW686" s="37"/>
    </row>
    <row r="687" ht="21.0" customHeight="1">
      <c r="A687" s="12"/>
      <c r="B687" s="32" t="s">
        <v>629</v>
      </c>
      <c r="C687" s="22">
        <f>vlookup(B687,'재고 백업'!$A:$B,2,0)</f>
        <v>62</v>
      </c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7"/>
      <c r="BU687" s="37"/>
      <c r="BV687" s="37"/>
      <c r="BW687" s="37"/>
    </row>
    <row r="688" ht="21.0" customHeight="1">
      <c r="A688" s="12"/>
      <c r="B688" s="32" t="s">
        <v>630</v>
      </c>
      <c r="C688" s="22" t="str">
        <f>vlookup(B688,'재고 백업'!$A:$B,2,0)</f>
        <v>-</v>
      </c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  <c r="BW688" s="40"/>
    </row>
    <row r="689" ht="21.0" customHeight="1">
      <c r="A689" s="12"/>
      <c r="B689" s="44"/>
      <c r="C689" s="44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  <c r="BW689" s="40"/>
    </row>
    <row r="690" ht="21.0" customHeight="1">
      <c r="A690" s="12"/>
      <c r="B690" s="31" t="s">
        <v>631</v>
      </c>
      <c r="C690" s="31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  <c r="BW690" s="40"/>
    </row>
    <row r="691" ht="21.0" customHeight="1">
      <c r="A691" s="12"/>
      <c r="B691" s="32" t="s">
        <v>632</v>
      </c>
      <c r="C691" s="22">
        <f>vlookup(B691,'재고 백업'!$A:$B,2,0)</f>
        <v>33</v>
      </c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  <c r="BW691" s="40"/>
    </row>
    <row r="692" ht="21.0" customHeight="1">
      <c r="A692" s="12"/>
      <c r="B692" s="32" t="s">
        <v>633</v>
      </c>
      <c r="C692" s="22">
        <f>vlookup(B692,'재고 백업'!$A:$B,2,0)</f>
        <v>125</v>
      </c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  <c r="BW692" s="40"/>
    </row>
    <row r="693" ht="21.0" customHeight="1">
      <c r="A693" s="12"/>
      <c r="B693" s="32" t="s">
        <v>634</v>
      </c>
      <c r="C693" s="22">
        <f>vlookup(B693,'재고 백업'!$A:$B,2,0)</f>
        <v>40</v>
      </c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  <c r="BW693" s="40"/>
    </row>
    <row r="694" ht="21.0" customHeight="1">
      <c r="A694" s="12"/>
      <c r="B694" s="32" t="s">
        <v>635</v>
      </c>
      <c r="C694" s="22" t="str">
        <f>vlookup(B694,'재고 백업'!$A:$B,2,0)</f>
        <v>-</v>
      </c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  <c r="BW694" s="40"/>
    </row>
    <row r="695" ht="21.0" customHeight="1">
      <c r="A695" s="12"/>
      <c r="B695" s="32" t="s">
        <v>636</v>
      </c>
      <c r="C695" s="22">
        <f>vlookup(B695,'재고 백업'!$A:$B,2,0)</f>
        <v>67</v>
      </c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  <c r="BW695" s="40"/>
    </row>
    <row r="696" ht="21.0" customHeight="1">
      <c r="A696" s="12"/>
      <c r="B696" s="32" t="s">
        <v>637</v>
      </c>
      <c r="C696" s="22">
        <f>vlookup(B696,'재고 백업'!$A:$B,2,0)</f>
        <v>33</v>
      </c>
    </row>
    <row r="697" ht="21.0" customHeight="1">
      <c r="A697" s="12"/>
      <c r="B697" s="32" t="s">
        <v>638</v>
      </c>
      <c r="C697" s="22" t="str">
        <f>vlookup(B697,'재고 백업'!$A:$B,2,0)</f>
        <v>-</v>
      </c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7"/>
      <c r="BQ697" s="37"/>
      <c r="BR697" s="37"/>
      <c r="BS697" s="37"/>
      <c r="BT697" s="37"/>
      <c r="BU697" s="37"/>
      <c r="BV697" s="37"/>
      <c r="BW697" s="37"/>
    </row>
    <row r="698" ht="21.0" customHeight="1">
      <c r="A698" s="12"/>
      <c r="B698" s="29"/>
      <c r="C698" s="30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7"/>
      <c r="BQ698" s="37"/>
      <c r="BR698" s="37"/>
      <c r="BS698" s="37"/>
      <c r="BT698" s="37"/>
      <c r="BU698" s="37"/>
      <c r="BV698" s="37"/>
      <c r="BW698" s="37"/>
    </row>
    <row r="699" ht="21.0" customHeight="1">
      <c r="A699" s="12"/>
      <c r="B699" s="25" t="s">
        <v>639</v>
      </c>
      <c r="C699" s="25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7"/>
      <c r="BU699" s="37"/>
      <c r="BV699" s="37"/>
      <c r="BW699" s="37"/>
    </row>
    <row r="700" ht="21.0" customHeight="1">
      <c r="A700" s="12"/>
      <c r="B700" s="32" t="s">
        <v>640</v>
      </c>
      <c r="C700" s="21" t="str">
        <f>vlookup(B700,'재고 백업'!$A:$B,2,0)</f>
        <v>#N/A</v>
      </c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7"/>
      <c r="BQ700" s="37"/>
      <c r="BR700" s="37"/>
      <c r="BS700" s="37"/>
      <c r="BT700" s="37"/>
      <c r="BU700" s="37"/>
      <c r="BV700" s="37"/>
      <c r="BW700" s="37"/>
    </row>
    <row r="701" ht="21.0" customHeight="1">
      <c r="A701" s="12"/>
      <c r="B701" s="32" t="s">
        <v>641</v>
      </c>
      <c r="C701" s="22">
        <f>vlookup(B701,'재고 백업'!$A:$B,2,0)</f>
        <v>1</v>
      </c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7"/>
      <c r="BU701" s="37"/>
      <c r="BV701" s="37"/>
      <c r="BW701" s="37"/>
    </row>
    <row r="702" ht="21.0" customHeight="1">
      <c r="A702" s="12"/>
      <c r="B702" s="29"/>
      <c r="C702" s="30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7"/>
    </row>
    <row r="703" ht="21.0" customHeight="1">
      <c r="A703" s="12"/>
      <c r="B703" s="25" t="s">
        <v>639</v>
      </c>
      <c r="C703" s="25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7"/>
      <c r="BU703" s="37"/>
      <c r="BV703" s="37"/>
      <c r="BW703" s="37"/>
    </row>
    <row r="704" ht="21.0" customHeight="1">
      <c r="A704" s="12"/>
      <c r="B704" s="32" t="s">
        <v>642</v>
      </c>
      <c r="C704" s="22" t="str">
        <f>vlookup(B704,'재고 백업'!$A:$B,2,0)</f>
        <v>-</v>
      </c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7"/>
      <c r="BU704" s="37"/>
      <c r="BV704" s="37"/>
      <c r="BW704" s="37"/>
    </row>
    <row r="705" ht="21.0" customHeight="1">
      <c r="A705" s="12"/>
      <c r="B705" s="29"/>
      <c r="C705" s="30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7"/>
      <c r="BU705" s="37"/>
      <c r="BV705" s="37"/>
      <c r="BW705" s="37"/>
    </row>
    <row r="706" ht="21.0" customHeight="1">
      <c r="A706" s="12"/>
      <c r="B706" s="25" t="s">
        <v>643</v>
      </c>
      <c r="C706" s="25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7"/>
      <c r="BU706" s="37"/>
      <c r="BV706" s="37"/>
      <c r="BW706" s="37"/>
    </row>
    <row r="707" ht="21.0" customHeight="1">
      <c r="A707" s="12"/>
      <c r="B707" s="32" t="s">
        <v>644</v>
      </c>
      <c r="C707" s="22" t="str">
        <f>vlookup(B707,'재고 백업'!$A:$B,2,0)</f>
        <v>-</v>
      </c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7"/>
      <c r="BU707" s="37"/>
      <c r="BV707" s="37"/>
      <c r="BW707" s="37"/>
    </row>
    <row r="708" ht="21.0" customHeight="1">
      <c r="A708" s="12"/>
      <c r="B708" s="29"/>
      <c r="C708" s="30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7"/>
      <c r="BU708" s="37"/>
      <c r="BV708" s="37"/>
      <c r="BW708" s="37"/>
    </row>
    <row r="709" ht="21.0" customHeight="1">
      <c r="A709" s="12"/>
      <c r="B709" s="31" t="s">
        <v>645</v>
      </c>
      <c r="C709" s="31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7"/>
      <c r="BQ709" s="37"/>
      <c r="BR709" s="37"/>
      <c r="BS709" s="37"/>
      <c r="BT709" s="37"/>
      <c r="BU709" s="37"/>
      <c r="BV709" s="37"/>
      <c r="BW709" s="37"/>
    </row>
    <row r="710" ht="21.0" customHeight="1">
      <c r="A710" s="12"/>
      <c r="B710" s="32" t="s">
        <v>646</v>
      </c>
      <c r="C710" s="22">
        <f>vlookup(B710,'재고 백업'!$A:$B,2,0)</f>
        <v>14</v>
      </c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7"/>
      <c r="BQ710" s="37"/>
      <c r="BR710" s="37"/>
      <c r="BS710" s="37"/>
      <c r="BT710" s="37"/>
      <c r="BU710" s="37"/>
      <c r="BV710" s="37"/>
      <c r="BW710" s="37"/>
    </row>
    <row r="711" ht="21.0" customHeight="1">
      <c r="A711" s="12"/>
      <c r="B711" s="24"/>
      <c r="C711" s="24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</row>
    <row r="712" ht="21.0" customHeight="1">
      <c r="A712" s="12"/>
      <c r="B712" s="31" t="s">
        <v>647</v>
      </c>
      <c r="C712" s="3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</row>
    <row r="713" ht="21.0" customHeight="1">
      <c r="A713" s="12"/>
      <c r="B713" s="32" t="s">
        <v>648</v>
      </c>
      <c r="C713" s="21" t="str">
        <f>vlookup(B713,'재고 백업'!$A:$B,2,0)</f>
        <v>#N/A</v>
      </c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</row>
    <row r="714" ht="21.0" customHeight="1">
      <c r="A714" s="12"/>
      <c r="B714" s="24"/>
      <c r="C714" s="24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</row>
    <row r="715" ht="21.0" customHeight="1">
      <c r="A715" s="12"/>
      <c r="B715" s="35" t="s">
        <v>649</v>
      </c>
      <c r="C715" s="35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</row>
    <row r="716" ht="21.0" customHeight="1">
      <c r="A716" s="12"/>
      <c r="B716" s="32" t="s">
        <v>650</v>
      </c>
      <c r="C716" s="22" t="str">
        <f>vlookup(B716,'재고 백업'!$A:$B,2,0)</f>
        <v>-</v>
      </c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</row>
    <row r="717" ht="21.0" customHeight="1">
      <c r="A717" s="12"/>
      <c r="B717" s="24"/>
      <c r="C717" s="24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</row>
    <row r="718" ht="21.0" customHeight="1">
      <c r="A718" s="12"/>
      <c r="B718" s="35" t="s">
        <v>651</v>
      </c>
      <c r="C718" s="35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7"/>
      <c r="BU718" s="37"/>
      <c r="BV718" s="37"/>
      <c r="BW718" s="37"/>
    </row>
    <row r="719" ht="21.0" customHeight="1">
      <c r="A719" s="12"/>
      <c r="B719" s="32" t="s">
        <v>652</v>
      </c>
      <c r="C719" s="21" t="str">
        <f>vlookup(B719,'재고 백업'!$A:$B,2,0)</f>
        <v>#N/A</v>
      </c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7"/>
      <c r="BU719" s="37"/>
      <c r="BV719" s="37"/>
      <c r="BW719" s="37"/>
    </row>
    <row r="720" ht="21.0" customHeight="1">
      <c r="A720" s="12"/>
      <c r="B720" s="32" t="s">
        <v>653</v>
      </c>
      <c r="C720" s="22" t="str">
        <f>vlookup(B720,'재고 백업'!$A:$B,2,0)</f>
        <v>-</v>
      </c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7"/>
      <c r="BU720" s="37"/>
      <c r="BV720" s="37"/>
      <c r="BW720" s="37"/>
    </row>
    <row r="721" ht="21.0" customHeight="1">
      <c r="A721" s="12"/>
      <c r="B721" s="32" t="s">
        <v>654</v>
      </c>
      <c r="C721" s="22">
        <f>vlookup(B721,'재고 백업'!$A:$B,2,0)</f>
        <v>50</v>
      </c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  <c r="BT721" s="37"/>
      <c r="BU721" s="37"/>
      <c r="BV721" s="37"/>
      <c r="BW721" s="37"/>
    </row>
    <row r="722" ht="21.0" customHeight="1">
      <c r="A722" s="12"/>
      <c r="B722" s="32" t="s">
        <v>655</v>
      </c>
      <c r="C722" s="22" t="str">
        <f>vlookup(B722,'재고 백업'!$A:$B,2,0)</f>
        <v>-</v>
      </c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7"/>
      <c r="BQ722" s="37"/>
      <c r="BR722" s="37"/>
      <c r="BS722" s="37"/>
      <c r="BT722" s="37"/>
      <c r="BU722" s="37"/>
      <c r="BV722" s="37"/>
      <c r="BW722" s="37"/>
    </row>
    <row r="723" ht="21.0" customHeight="1">
      <c r="A723" s="12"/>
      <c r="B723" s="62"/>
      <c r="C723" s="63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7"/>
      <c r="BU723" s="37"/>
      <c r="BV723" s="37"/>
      <c r="BW723" s="37"/>
    </row>
    <row r="724" ht="21.0" customHeight="1">
      <c r="A724" s="12"/>
      <c r="B724" s="35" t="s">
        <v>656</v>
      </c>
      <c r="C724" s="35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7"/>
      <c r="BQ724" s="37"/>
      <c r="BR724" s="37"/>
      <c r="BS724" s="37"/>
      <c r="BT724" s="37"/>
      <c r="BU724" s="37"/>
      <c r="BV724" s="37"/>
      <c r="BW724" s="37"/>
    </row>
    <row r="725" ht="21.0" customHeight="1">
      <c r="A725" s="12"/>
      <c r="B725" s="32" t="s">
        <v>657</v>
      </c>
      <c r="C725" s="22" t="str">
        <f>vlookup(B725,'재고 백업'!$A:$B,2,0)</f>
        <v>-</v>
      </c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7"/>
      <c r="BU725" s="37"/>
      <c r="BV725" s="37"/>
      <c r="BW725" s="37"/>
    </row>
    <row r="726" ht="21.0" customHeight="1">
      <c r="A726" s="12"/>
      <c r="B726" s="62"/>
      <c r="C726" s="63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7"/>
      <c r="BU726" s="37"/>
      <c r="BV726" s="37"/>
      <c r="BW726" s="37"/>
    </row>
    <row r="727" ht="21.0" customHeight="1">
      <c r="A727" s="12"/>
      <c r="B727" s="35" t="s">
        <v>658</v>
      </c>
      <c r="C727" s="35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7"/>
      <c r="BU727" s="37"/>
      <c r="BV727" s="37"/>
      <c r="BW727" s="37"/>
    </row>
    <row r="728" ht="21.0" customHeight="1">
      <c r="A728" s="12"/>
      <c r="B728" s="32" t="s">
        <v>659</v>
      </c>
      <c r="C728" s="22" t="str">
        <f>vlookup(B728,'재고 백업'!$A:$B,2,0)</f>
        <v>-</v>
      </c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7"/>
      <c r="BU728" s="37"/>
      <c r="BV728" s="37"/>
      <c r="BW728" s="37"/>
    </row>
    <row r="729" ht="21.0" customHeight="1">
      <c r="A729" s="12"/>
      <c r="B729" s="62"/>
      <c r="C729" s="63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7"/>
      <c r="BU729" s="37"/>
      <c r="BV729" s="37"/>
      <c r="BW729" s="37"/>
    </row>
    <row r="730" ht="21.0" customHeight="1">
      <c r="A730" s="12"/>
      <c r="B730" s="43" t="s">
        <v>660</v>
      </c>
      <c r="C730" s="43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7"/>
      <c r="BU730" s="37"/>
      <c r="BV730" s="37"/>
      <c r="BW730" s="37"/>
    </row>
    <row r="731" ht="21.0" customHeight="1">
      <c r="A731" s="12"/>
      <c r="B731" s="32" t="s">
        <v>661</v>
      </c>
      <c r="C731" s="22">
        <f>vlookup(B731,'재고 백업'!$A:$B,2,0)</f>
        <v>31</v>
      </c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7"/>
      <c r="BU731" s="37"/>
      <c r="BV731" s="37"/>
      <c r="BW731" s="37"/>
    </row>
    <row r="732" ht="21.0" customHeight="1">
      <c r="A732" s="12"/>
      <c r="B732" s="32" t="s">
        <v>662</v>
      </c>
      <c r="C732" s="22">
        <f>vlookup(B732,'재고 백업'!$A:$B,2,0)</f>
        <v>24</v>
      </c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</row>
    <row r="733" ht="21.0" customHeight="1">
      <c r="A733" s="12"/>
      <c r="B733" s="32" t="s">
        <v>663</v>
      </c>
      <c r="C733" s="22" t="str">
        <f>vlookup(B733,'재고 백업'!$A:$B,2,0)</f>
        <v>-</v>
      </c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7"/>
      <c r="BQ733" s="37"/>
      <c r="BR733" s="37"/>
      <c r="BS733" s="37"/>
      <c r="BT733" s="37"/>
      <c r="BU733" s="37"/>
      <c r="BV733" s="37"/>
      <c r="BW733" s="37"/>
    </row>
    <row r="734" ht="21.0" customHeight="1">
      <c r="A734" s="12"/>
      <c r="B734" s="32" t="s">
        <v>664</v>
      </c>
      <c r="C734" s="22">
        <f>vlookup(B734,'재고 백업'!$A:$B,2,0)</f>
        <v>8</v>
      </c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7"/>
      <c r="BQ734" s="37"/>
      <c r="BR734" s="37"/>
      <c r="BS734" s="37"/>
      <c r="BT734" s="37"/>
      <c r="BU734" s="37"/>
      <c r="BV734" s="37"/>
      <c r="BW734" s="37"/>
    </row>
    <row r="735" ht="21.0" customHeight="1">
      <c r="A735" s="12"/>
      <c r="B735" s="32" t="s">
        <v>665</v>
      </c>
      <c r="C735" s="22">
        <f>vlookup(B735,'재고 백업'!$A:$B,2,0)</f>
        <v>61</v>
      </c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7"/>
      <c r="BU735" s="37"/>
      <c r="BV735" s="37"/>
      <c r="BW735" s="37"/>
    </row>
    <row r="736" ht="21.0" customHeight="1">
      <c r="A736" s="12"/>
      <c r="B736" s="32" t="s">
        <v>666</v>
      </c>
      <c r="C736" s="22">
        <f>vlookup(B736,'재고 백업'!$A:$B,2,0)</f>
        <v>11</v>
      </c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7"/>
      <c r="BQ736" s="37"/>
      <c r="BR736" s="37"/>
      <c r="BS736" s="37"/>
      <c r="BT736" s="37"/>
      <c r="BU736" s="37"/>
      <c r="BV736" s="37"/>
      <c r="BW736" s="37"/>
    </row>
    <row r="737" ht="21.0" customHeight="1">
      <c r="A737" s="12"/>
      <c r="B737" s="62"/>
      <c r="C737" s="63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7"/>
      <c r="BU737" s="37"/>
      <c r="BV737" s="37"/>
      <c r="BW737" s="37"/>
    </row>
    <row r="738" ht="21.0" customHeight="1">
      <c r="A738" s="12"/>
      <c r="B738" s="39" t="s">
        <v>667</v>
      </c>
      <c r="C738" s="39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7"/>
      <c r="BU738" s="37"/>
      <c r="BV738" s="37"/>
      <c r="BW738" s="37"/>
    </row>
    <row r="739" ht="21.0" customHeight="1">
      <c r="A739" s="12"/>
      <c r="B739" s="32" t="s">
        <v>668</v>
      </c>
      <c r="C739" s="22">
        <f>vlookup(B739,'재고 백업'!$A:$B,2,0)</f>
        <v>48</v>
      </c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7"/>
      <c r="BU739" s="37"/>
      <c r="BV739" s="37"/>
      <c r="BW739" s="37"/>
    </row>
    <row r="740" ht="21.0" customHeight="1">
      <c r="A740" s="12"/>
      <c r="B740" s="32" t="s">
        <v>669</v>
      </c>
      <c r="C740" s="22" t="str">
        <f>vlookup(B740,'재고 백업'!$A:$B,2,0)</f>
        <v>-</v>
      </c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7"/>
      <c r="BU740" s="37"/>
      <c r="BV740" s="37"/>
      <c r="BW740" s="37"/>
    </row>
    <row r="741" ht="21.0" customHeight="1">
      <c r="A741" s="12"/>
      <c r="B741" s="32" t="s">
        <v>670</v>
      </c>
      <c r="C741" s="22">
        <f>vlookup(B741,'재고 백업'!$A:$B,2,0)</f>
        <v>35</v>
      </c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7"/>
      <c r="BU741" s="37"/>
      <c r="BV741" s="37"/>
      <c r="BW741" s="37"/>
    </row>
    <row r="742" ht="21.0" customHeight="1">
      <c r="A742" s="12"/>
      <c r="B742" s="21" t="s">
        <v>671</v>
      </c>
      <c r="C742" s="22">
        <f>vlookup(B742,'재고 백업'!$A:$B,2,0)</f>
        <v>1</v>
      </c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</row>
    <row r="743" ht="21.0" customHeight="1">
      <c r="A743" s="12"/>
      <c r="B743" s="64" t="s">
        <v>672</v>
      </c>
      <c r="C743" s="22">
        <f>vlookup(B743,'재고 백업'!$A:$B,2,0)</f>
        <v>26</v>
      </c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7"/>
      <c r="BU743" s="37"/>
      <c r="BV743" s="37"/>
      <c r="BW743" s="37"/>
    </row>
    <row r="744" ht="21.0" customHeight="1">
      <c r="A744" s="12"/>
      <c r="B744" s="64" t="s">
        <v>673</v>
      </c>
      <c r="C744" s="22" t="str">
        <f>vlookup(B744,'재고 백업'!$A:$B,2,0)</f>
        <v>-</v>
      </c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7"/>
      <c r="BU744" s="37"/>
      <c r="BV744" s="37"/>
      <c r="BW744" s="37"/>
    </row>
    <row r="745" ht="21.0" customHeight="1">
      <c r="A745" s="12"/>
      <c r="B745" s="64" t="s">
        <v>674</v>
      </c>
      <c r="C745" s="21" t="str">
        <f>vlookup(B745,'재고 백업'!$A:$B,2,0)</f>
        <v>#N/A</v>
      </c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7"/>
      <c r="BQ745" s="37"/>
      <c r="BR745" s="37"/>
      <c r="BS745" s="37"/>
      <c r="BT745" s="37"/>
      <c r="BU745" s="37"/>
      <c r="BV745" s="37"/>
      <c r="BW745" s="37"/>
    </row>
    <row r="746" ht="21.0" customHeight="1">
      <c r="A746" s="12"/>
      <c r="B746" s="30"/>
      <c r="C746" s="30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  <c r="BT746" s="37"/>
      <c r="BU746" s="37"/>
      <c r="BV746" s="37"/>
      <c r="BW746" s="37"/>
    </row>
    <row r="747" ht="21.0" customHeight="1">
      <c r="A747" s="12"/>
      <c r="B747" s="65" t="s">
        <v>675</v>
      </c>
      <c r="C747" s="65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</row>
    <row r="748" ht="21.0" customHeight="1">
      <c r="A748" s="12"/>
      <c r="B748" s="32" t="s">
        <v>676</v>
      </c>
      <c r="C748" s="22">
        <f>vlookup(B748,'재고 백업'!$A:$B,2,0)</f>
        <v>77</v>
      </c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7"/>
      <c r="BQ748" s="37"/>
      <c r="BR748" s="37"/>
      <c r="BS748" s="37"/>
      <c r="BT748" s="37"/>
      <c r="BU748" s="37"/>
      <c r="BV748" s="37"/>
      <c r="BW748" s="37"/>
    </row>
    <row r="749" ht="21.0" customHeight="1">
      <c r="A749" s="12"/>
      <c r="B749" s="32" t="s">
        <v>677</v>
      </c>
      <c r="C749" s="22">
        <f>vlookup(B749,'재고 백업'!$A:$B,2,0)</f>
        <v>8</v>
      </c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7"/>
      <c r="BU749" s="37"/>
      <c r="BV749" s="37"/>
      <c r="BW749" s="37"/>
    </row>
    <row r="750" ht="21.0" customHeight="1">
      <c r="A750" s="12"/>
      <c r="B750" s="32" t="s">
        <v>678</v>
      </c>
      <c r="C750" s="22">
        <f>vlookup(B750,'재고 백업'!$A:$B,2,0)</f>
        <v>258</v>
      </c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7"/>
      <c r="BU750" s="37"/>
      <c r="BV750" s="37"/>
      <c r="BW750" s="37"/>
    </row>
    <row r="751" ht="21.0" customHeight="1">
      <c r="A751" s="12"/>
      <c r="B751" s="32" t="s">
        <v>679</v>
      </c>
      <c r="C751" s="22">
        <f>vlookup(B751,'재고 백업'!$A:$B,2,0)</f>
        <v>27</v>
      </c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7"/>
      <c r="BU751" s="37"/>
      <c r="BV751" s="37"/>
      <c r="BW751" s="37"/>
    </row>
    <row r="752" ht="21.0" customHeight="1">
      <c r="A752" s="12"/>
      <c r="B752" s="32" t="s">
        <v>680</v>
      </c>
      <c r="C752" s="22">
        <f>vlookup(B752,'재고 백업'!$A:$B,2,0)</f>
        <v>20</v>
      </c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</row>
    <row r="753" ht="21.0" customHeight="1">
      <c r="A753" s="12"/>
      <c r="B753" s="32" t="s">
        <v>681</v>
      </c>
      <c r="C753" s="22">
        <f>vlookup(B753,'재고 백업'!$A:$B,2,0)</f>
        <v>182</v>
      </c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7"/>
      <c r="BU753" s="37"/>
      <c r="BV753" s="37"/>
      <c r="BW753" s="37"/>
    </row>
    <row r="754" ht="21.0" customHeight="1">
      <c r="A754" s="12"/>
      <c r="B754" s="32" t="s">
        <v>682</v>
      </c>
      <c r="C754" s="22">
        <f>vlookup(B754,'재고 백업'!$A:$B,2,0)</f>
        <v>20</v>
      </c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7"/>
      <c r="BU754" s="37"/>
      <c r="BV754" s="37"/>
      <c r="BW754" s="37"/>
    </row>
    <row r="755" ht="21.0" customHeight="1">
      <c r="A755" s="12"/>
      <c r="B755" s="32" t="s">
        <v>683</v>
      </c>
      <c r="C755" s="22">
        <f>vlookup(B755,'재고 백업'!$A:$B,2,0)</f>
        <v>30</v>
      </c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  <c r="AQ755" s="66"/>
      <c r="AR755" s="66"/>
      <c r="AS755" s="66"/>
      <c r="AT755" s="66"/>
      <c r="AU755" s="66"/>
      <c r="AV755" s="66"/>
      <c r="AW755" s="66"/>
      <c r="AX755" s="66"/>
      <c r="AY755" s="66"/>
      <c r="AZ755" s="66"/>
      <c r="BA755" s="66"/>
      <c r="BB755" s="66"/>
      <c r="BC755" s="66"/>
      <c r="BD755" s="66"/>
      <c r="BE755" s="66"/>
      <c r="BF755" s="66"/>
      <c r="BG755" s="66"/>
      <c r="BH755" s="66"/>
      <c r="BI755" s="66"/>
      <c r="BJ755" s="66"/>
      <c r="BK755" s="66"/>
      <c r="BL755" s="66"/>
      <c r="BM755" s="66"/>
      <c r="BN755" s="66"/>
      <c r="BO755" s="66"/>
      <c r="BP755" s="66"/>
      <c r="BQ755" s="66"/>
      <c r="BR755" s="66"/>
      <c r="BS755" s="66"/>
      <c r="BT755" s="66"/>
      <c r="BU755" s="66"/>
      <c r="BV755" s="66"/>
      <c r="BW755" s="66"/>
    </row>
    <row r="756" ht="21.0" customHeight="1">
      <c r="A756" s="12"/>
      <c r="B756" s="32" t="s">
        <v>684</v>
      </c>
      <c r="C756" s="22">
        <f>vlookup(B756,'재고 백업'!$A:$B,2,0)</f>
        <v>60</v>
      </c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  <c r="AR756" s="66"/>
      <c r="AS756" s="66"/>
      <c r="AT756" s="66"/>
      <c r="AU756" s="66"/>
      <c r="AV756" s="66"/>
      <c r="AW756" s="66"/>
      <c r="AX756" s="66"/>
      <c r="AY756" s="66"/>
      <c r="AZ756" s="66"/>
      <c r="BA756" s="66"/>
      <c r="BB756" s="66"/>
      <c r="BC756" s="66"/>
      <c r="BD756" s="66"/>
      <c r="BE756" s="66"/>
      <c r="BF756" s="66"/>
      <c r="BG756" s="66"/>
      <c r="BH756" s="66"/>
      <c r="BI756" s="66"/>
      <c r="BJ756" s="66"/>
      <c r="BK756" s="66"/>
      <c r="BL756" s="66"/>
      <c r="BM756" s="66"/>
      <c r="BN756" s="66"/>
      <c r="BO756" s="66"/>
      <c r="BP756" s="66"/>
      <c r="BQ756" s="66"/>
      <c r="BR756" s="66"/>
      <c r="BS756" s="66"/>
      <c r="BT756" s="66"/>
      <c r="BU756" s="66"/>
      <c r="BV756" s="66"/>
      <c r="BW756" s="66"/>
    </row>
    <row r="757" ht="21.0" customHeight="1">
      <c r="A757" s="12"/>
      <c r="B757" s="32" t="s">
        <v>685</v>
      </c>
      <c r="C757" s="22">
        <f>vlookup(B757,'재고 백업'!$A:$B,2,0)</f>
        <v>23</v>
      </c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  <c r="AP757" s="66"/>
      <c r="AQ757" s="66"/>
      <c r="AR757" s="66"/>
      <c r="AS757" s="66"/>
      <c r="AT757" s="66"/>
      <c r="AU757" s="66"/>
      <c r="AV757" s="66"/>
      <c r="AW757" s="66"/>
      <c r="AX757" s="66"/>
      <c r="AY757" s="66"/>
      <c r="AZ757" s="66"/>
      <c r="BA757" s="66"/>
      <c r="BB757" s="66"/>
      <c r="BC757" s="66"/>
      <c r="BD757" s="66"/>
      <c r="BE757" s="66"/>
      <c r="BF757" s="66"/>
      <c r="BG757" s="66"/>
      <c r="BH757" s="66"/>
      <c r="BI757" s="66"/>
      <c r="BJ757" s="66"/>
      <c r="BK757" s="66"/>
      <c r="BL757" s="66"/>
      <c r="BM757" s="66"/>
      <c r="BN757" s="66"/>
      <c r="BO757" s="66"/>
      <c r="BP757" s="66"/>
      <c r="BQ757" s="66"/>
      <c r="BR757" s="66"/>
      <c r="BS757" s="66"/>
      <c r="BT757" s="66"/>
      <c r="BU757" s="66"/>
      <c r="BV757" s="66"/>
      <c r="BW757" s="66"/>
    </row>
    <row r="758" ht="21.0" customHeight="1">
      <c r="A758" s="12"/>
      <c r="B758" s="32" t="s">
        <v>686</v>
      </c>
      <c r="C758" s="22">
        <f>vlookup(B758,'재고 백업'!$A:$B,2,0)</f>
        <v>7</v>
      </c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  <c r="AP758" s="66"/>
      <c r="AQ758" s="66"/>
      <c r="AR758" s="66"/>
      <c r="AS758" s="66"/>
      <c r="AT758" s="66"/>
      <c r="AU758" s="66"/>
      <c r="AV758" s="66"/>
      <c r="AW758" s="66"/>
      <c r="AX758" s="66"/>
      <c r="AY758" s="66"/>
      <c r="AZ758" s="66"/>
      <c r="BA758" s="66"/>
      <c r="BB758" s="66"/>
      <c r="BC758" s="66"/>
      <c r="BD758" s="66"/>
      <c r="BE758" s="66"/>
      <c r="BF758" s="66"/>
      <c r="BG758" s="66"/>
      <c r="BH758" s="66"/>
      <c r="BI758" s="66"/>
      <c r="BJ758" s="66"/>
      <c r="BK758" s="66"/>
      <c r="BL758" s="66"/>
      <c r="BM758" s="66"/>
      <c r="BN758" s="66"/>
      <c r="BO758" s="66"/>
      <c r="BP758" s="66"/>
      <c r="BQ758" s="66"/>
      <c r="BR758" s="66"/>
      <c r="BS758" s="66"/>
      <c r="BT758" s="66"/>
      <c r="BU758" s="66"/>
      <c r="BV758" s="66"/>
      <c r="BW758" s="66"/>
    </row>
    <row r="759" ht="21.0" customHeight="1">
      <c r="A759" s="12"/>
      <c r="B759" s="30"/>
      <c r="C759" s="30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  <c r="AP759" s="66"/>
      <c r="AQ759" s="66"/>
      <c r="AR759" s="66"/>
      <c r="AS759" s="66"/>
      <c r="AT759" s="66"/>
      <c r="AU759" s="66"/>
      <c r="AV759" s="66"/>
      <c r="AW759" s="66"/>
      <c r="AX759" s="66"/>
      <c r="AY759" s="66"/>
      <c r="AZ759" s="66"/>
      <c r="BA759" s="66"/>
      <c r="BB759" s="66"/>
      <c r="BC759" s="66"/>
      <c r="BD759" s="66"/>
      <c r="BE759" s="66"/>
      <c r="BF759" s="66"/>
      <c r="BG759" s="66"/>
      <c r="BH759" s="66"/>
      <c r="BI759" s="66"/>
      <c r="BJ759" s="66"/>
      <c r="BK759" s="66"/>
      <c r="BL759" s="66"/>
      <c r="BM759" s="66"/>
      <c r="BN759" s="66"/>
      <c r="BO759" s="66"/>
      <c r="BP759" s="66"/>
      <c r="BQ759" s="66"/>
      <c r="BR759" s="66"/>
      <c r="BS759" s="66"/>
      <c r="BT759" s="66"/>
      <c r="BU759" s="66"/>
      <c r="BV759" s="66"/>
      <c r="BW759" s="66"/>
    </row>
    <row r="760" ht="21.0" customHeight="1">
      <c r="A760" s="12"/>
      <c r="B760" s="67" t="s">
        <v>687</v>
      </c>
      <c r="C760" s="67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  <c r="AP760" s="66"/>
      <c r="AQ760" s="66"/>
      <c r="AR760" s="66"/>
      <c r="AS760" s="66"/>
      <c r="AT760" s="66"/>
      <c r="AU760" s="66"/>
      <c r="AV760" s="66"/>
      <c r="AW760" s="66"/>
      <c r="AX760" s="66"/>
      <c r="AY760" s="66"/>
      <c r="AZ760" s="66"/>
      <c r="BA760" s="66"/>
      <c r="BB760" s="66"/>
      <c r="BC760" s="66"/>
      <c r="BD760" s="66"/>
      <c r="BE760" s="66"/>
      <c r="BF760" s="66"/>
      <c r="BG760" s="66"/>
      <c r="BH760" s="66"/>
      <c r="BI760" s="66"/>
      <c r="BJ760" s="66"/>
      <c r="BK760" s="66"/>
      <c r="BL760" s="66"/>
      <c r="BM760" s="66"/>
      <c r="BN760" s="66"/>
      <c r="BO760" s="66"/>
      <c r="BP760" s="66"/>
      <c r="BQ760" s="66"/>
      <c r="BR760" s="66"/>
      <c r="BS760" s="66"/>
      <c r="BT760" s="66"/>
      <c r="BU760" s="66"/>
      <c r="BV760" s="66"/>
      <c r="BW760" s="66"/>
    </row>
    <row r="761" ht="21.0" customHeight="1">
      <c r="A761" s="12"/>
      <c r="B761" s="32" t="s">
        <v>688</v>
      </c>
      <c r="C761" s="22">
        <f>vlookup(B761,'재고 백업'!$A:$B,2,0)</f>
        <v>48</v>
      </c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  <c r="AP761" s="66"/>
      <c r="AQ761" s="66"/>
      <c r="AR761" s="66"/>
      <c r="AS761" s="66"/>
      <c r="AT761" s="66"/>
      <c r="AU761" s="66"/>
      <c r="AV761" s="66"/>
      <c r="AW761" s="66"/>
      <c r="AX761" s="66"/>
      <c r="AY761" s="66"/>
      <c r="AZ761" s="66"/>
      <c r="BA761" s="66"/>
      <c r="BB761" s="66"/>
      <c r="BC761" s="66"/>
      <c r="BD761" s="66"/>
      <c r="BE761" s="66"/>
      <c r="BF761" s="66"/>
      <c r="BG761" s="66"/>
      <c r="BH761" s="66"/>
      <c r="BI761" s="66"/>
      <c r="BJ761" s="66"/>
      <c r="BK761" s="66"/>
      <c r="BL761" s="66"/>
      <c r="BM761" s="66"/>
      <c r="BN761" s="66"/>
      <c r="BO761" s="66"/>
      <c r="BP761" s="66"/>
      <c r="BQ761" s="66"/>
      <c r="BR761" s="66"/>
      <c r="BS761" s="66"/>
      <c r="BT761" s="66"/>
      <c r="BU761" s="66"/>
      <c r="BV761" s="66"/>
      <c r="BW761" s="66"/>
    </row>
    <row r="762" ht="21.0" customHeight="1">
      <c r="A762" s="12"/>
      <c r="B762" s="32" t="s">
        <v>689</v>
      </c>
      <c r="C762" s="22">
        <f>vlookup(B762,'재고 백업'!$A:$B,2,0)</f>
        <v>48</v>
      </c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  <c r="AP762" s="66"/>
      <c r="AQ762" s="66"/>
      <c r="AR762" s="66"/>
      <c r="AS762" s="66"/>
      <c r="AT762" s="66"/>
      <c r="AU762" s="66"/>
      <c r="AV762" s="66"/>
      <c r="AW762" s="66"/>
      <c r="AX762" s="66"/>
      <c r="AY762" s="66"/>
      <c r="AZ762" s="66"/>
      <c r="BA762" s="66"/>
      <c r="BB762" s="66"/>
      <c r="BC762" s="66"/>
      <c r="BD762" s="66"/>
      <c r="BE762" s="66"/>
      <c r="BF762" s="66"/>
      <c r="BG762" s="66"/>
      <c r="BH762" s="66"/>
      <c r="BI762" s="66"/>
      <c r="BJ762" s="66"/>
      <c r="BK762" s="66"/>
      <c r="BL762" s="66"/>
      <c r="BM762" s="66"/>
      <c r="BN762" s="66"/>
      <c r="BO762" s="66"/>
      <c r="BP762" s="66"/>
      <c r="BQ762" s="66"/>
      <c r="BR762" s="66"/>
      <c r="BS762" s="66"/>
      <c r="BT762" s="66"/>
      <c r="BU762" s="66"/>
      <c r="BV762" s="66"/>
      <c r="BW762" s="66"/>
    </row>
    <row r="763" ht="21.0" customHeight="1">
      <c r="A763" s="12"/>
      <c r="B763" s="32" t="s">
        <v>690</v>
      </c>
      <c r="C763" s="22">
        <f>vlookup(B763,'재고 백업'!$A:$B,2,0)</f>
        <v>48</v>
      </c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  <c r="AQ763" s="66"/>
      <c r="AR763" s="66"/>
      <c r="AS763" s="66"/>
      <c r="AT763" s="66"/>
      <c r="AU763" s="66"/>
      <c r="AV763" s="66"/>
      <c r="AW763" s="66"/>
      <c r="AX763" s="66"/>
      <c r="AY763" s="66"/>
      <c r="AZ763" s="66"/>
      <c r="BA763" s="66"/>
      <c r="BB763" s="66"/>
      <c r="BC763" s="66"/>
      <c r="BD763" s="66"/>
      <c r="BE763" s="66"/>
      <c r="BF763" s="66"/>
      <c r="BG763" s="66"/>
      <c r="BH763" s="66"/>
      <c r="BI763" s="66"/>
      <c r="BJ763" s="66"/>
      <c r="BK763" s="66"/>
      <c r="BL763" s="66"/>
      <c r="BM763" s="66"/>
      <c r="BN763" s="66"/>
      <c r="BO763" s="66"/>
      <c r="BP763" s="66"/>
      <c r="BQ763" s="66"/>
      <c r="BR763" s="66"/>
      <c r="BS763" s="66"/>
      <c r="BT763" s="66"/>
      <c r="BU763" s="66"/>
      <c r="BV763" s="66"/>
      <c r="BW763" s="66"/>
    </row>
    <row r="764" ht="21.0" customHeight="1">
      <c r="A764" s="12"/>
      <c r="B764" s="32" t="s">
        <v>691</v>
      </c>
      <c r="C764" s="22">
        <f>vlookup(B764,'재고 백업'!$A:$B,2,0)</f>
        <v>48</v>
      </c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  <c r="AP764" s="66"/>
      <c r="AQ764" s="66"/>
      <c r="AR764" s="66"/>
      <c r="AS764" s="66"/>
      <c r="AT764" s="66"/>
      <c r="AU764" s="66"/>
      <c r="AV764" s="66"/>
      <c r="AW764" s="66"/>
      <c r="AX764" s="66"/>
      <c r="AY764" s="66"/>
      <c r="AZ764" s="66"/>
      <c r="BA764" s="66"/>
      <c r="BB764" s="66"/>
      <c r="BC764" s="66"/>
      <c r="BD764" s="66"/>
      <c r="BE764" s="66"/>
      <c r="BF764" s="66"/>
      <c r="BG764" s="66"/>
      <c r="BH764" s="66"/>
      <c r="BI764" s="66"/>
      <c r="BJ764" s="66"/>
      <c r="BK764" s="66"/>
      <c r="BL764" s="66"/>
      <c r="BM764" s="66"/>
      <c r="BN764" s="66"/>
      <c r="BO764" s="66"/>
      <c r="BP764" s="66"/>
      <c r="BQ764" s="66"/>
      <c r="BR764" s="66"/>
      <c r="BS764" s="66"/>
      <c r="BT764" s="66"/>
      <c r="BU764" s="66"/>
      <c r="BV764" s="66"/>
      <c r="BW764" s="66"/>
    </row>
    <row r="765" ht="21.0" customHeight="1">
      <c r="A765" s="12"/>
      <c r="B765" s="32" t="s">
        <v>692</v>
      </c>
      <c r="C765" s="22">
        <f>vlookup(B765,'재고 백업'!$A:$B,2,0)</f>
        <v>43</v>
      </c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  <c r="AR765" s="66"/>
      <c r="AS765" s="66"/>
      <c r="AT765" s="66"/>
      <c r="AU765" s="66"/>
      <c r="AV765" s="66"/>
      <c r="AW765" s="66"/>
      <c r="AX765" s="66"/>
      <c r="AY765" s="66"/>
      <c r="AZ765" s="66"/>
      <c r="BA765" s="66"/>
      <c r="BB765" s="66"/>
      <c r="BC765" s="66"/>
      <c r="BD765" s="66"/>
      <c r="BE765" s="66"/>
      <c r="BF765" s="66"/>
      <c r="BG765" s="66"/>
      <c r="BH765" s="66"/>
      <c r="BI765" s="66"/>
      <c r="BJ765" s="66"/>
      <c r="BK765" s="66"/>
      <c r="BL765" s="66"/>
      <c r="BM765" s="66"/>
      <c r="BN765" s="66"/>
      <c r="BO765" s="66"/>
      <c r="BP765" s="66"/>
      <c r="BQ765" s="66"/>
      <c r="BR765" s="66"/>
      <c r="BS765" s="66"/>
      <c r="BT765" s="66"/>
      <c r="BU765" s="66"/>
      <c r="BV765" s="66"/>
      <c r="BW765" s="66"/>
    </row>
    <row r="766" ht="21.0" customHeight="1">
      <c r="A766" s="12"/>
      <c r="B766" s="32" t="s">
        <v>693</v>
      </c>
      <c r="C766" s="22">
        <f>vlookup(B766,'재고 백업'!$A:$B,2,0)</f>
        <v>7</v>
      </c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  <c r="AR766" s="66"/>
      <c r="AS766" s="66"/>
      <c r="AT766" s="66"/>
      <c r="AU766" s="66"/>
      <c r="AV766" s="66"/>
      <c r="AW766" s="66"/>
      <c r="AX766" s="66"/>
      <c r="AY766" s="66"/>
      <c r="AZ766" s="66"/>
      <c r="BA766" s="66"/>
      <c r="BB766" s="66"/>
      <c r="BC766" s="66"/>
      <c r="BD766" s="66"/>
      <c r="BE766" s="66"/>
      <c r="BF766" s="66"/>
      <c r="BG766" s="66"/>
      <c r="BH766" s="66"/>
      <c r="BI766" s="66"/>
      <c r="BJ766" s="66"/>
      <c r="BK766" s="66"/>
      <c r="BL766" s="66"/>
      <c r="BM766" s="66"/>
      <c r="BN766" s="66"/>
      <c r="BO766" s="66"/>
      <c r="BP766" s="66"/>
      <c r="BQ766" s="66"/>
      <c r="BR766" s="66"/>
      <c r="BS766" s="66"/>
      <c r="BT766" s="66"/>
      <c r="BU766" s="66"/>
      <c r="BV766" s="66"/>
      <c r="BW766" s="66"/>
    </row>
    <row r="767" ht="21.0" customHeight="1">
      <c r="A767" s="12"/>
      <c r="B767" s="32" t="s">
        <v>694</v>
      </c>
      <c r="C767" s="22">
        <f>vlookup(B767,'재고 백업'!$A:$B,2,0)</f>
        <v>38</v>
      </c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  <c r="AQ767" s="66"/>
      <c r="AR767" s="66"/>
      <c r="AS767" s="66"/>
      <c r="AT767" s="66"/>
      <c r="AU767" s="66"/>
      <c r="AV767" s="66"/>
      <c r="AW767" s="66"/>
      <c r="AX767" s="66"/>
      <c r="AY767" s="66"/>
      <c r="AZ767" s="66"/>
      <c r="BA767" s="66"/>
      <c r="BB767" s="66"/>
      <c r="BC767" s="66"/>
      <c r="BD767" s="66"/>
      <c r="BE767" s="66"/>
      <c r="BF767" s="66"/>
      <c r="BG767" s="66"/>
      <c r="BH767" s="66"/>
      <c r="BI767" s="66"/>
      <c r="BJ767" s="66"/>
      <c r="BK767" s="66"/>
      <c r="BL767" s="66"/>
      <c r="BM767" s="66"/>
      <c r="BN767" s="66"/>
      <c r="BO767" s="66"/>
      <c r="BP767" s="66"/>
      <c r="BQ767" s="66"/>
      <c r="BR767" s="66"/>
      <c r="BS767" s="66"/>
      <c r="BT767" s="66"/>
      <c r="BU767" s="66"/>
      <c r="BV767" s="66"/>
      <c r="BW767" s="66"/>
    </row>
    <row r="768" ht="21.0" customHeight="1">
      <c r="A768" s="12"/>
      <c r="B768" s="32" t="s">
        <v>695</v>
      </c>
      <c r="C768" s="22">
        <f>vlookup(B768,'재고 백업'!$A:$B,2,0)</f>
        <v>96</v>
      </c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/>
      <c r="AQ768" s="66"/>
      <c r="AR768" s="66"/>
      <c r="AS768" s="66"/>
      <c r="AT768" s="66"/>
      <c r="AU768" s="66"/>
      <c r="AV768" s="66"/>
      <c r="AW768" s="66"/>
      <c r="AX768" s="66"/>
      <c r="AY768" s="66"/>
      <c r="AZ768" s="66"/>
      <c r="BA768" s="66"/>
      <c r="BB768" s="66"/>
      <c r="BC768" s="66"/>
      <c r="BD768" s="66"/>
      <c r="BE768" s="66"/>
      <c r="BF768" s="66"/>
      <c r="BG768" s="66"/>
      <c r="BH768" s="66"/>
      <c r="BI768" s="66"/>
      <c r="BJ768" s="66"/>
      <c r="BK768" s="66"/>
      <c r="BL768" s="66"/>
      <c r="BM768" s="66"/>
      <c r="BN768" s="66"/>
      <c r="BO768" s="66"/>
      <c r="BP768" s="66"/>
      <c r="BQ768" s="66"/>
      <c r="BR768" s="66"/>
      <c r="BS768" s="66"/>
      <c r="BT768" s="66"/>
      <c r="BU768" s="66"/>
      <c r="BV768" s="66"/>
      <c r="BW768" s="66"/>
    </row>
    <row r="769" ht="21.0" customHeight="1">
      <c r="A769" s="12"/>
      <c r="B769" s="32" t="s">
        <v>696</v>
      </c>
      <c r="C769" s="22">
        <f>vlookup(B769,'재고 백업'!$A:$B,2,0)</f>
        <v>40</v>
      </c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  <c r="AR769" s="66"/>
      <c r="AS769" s="66"/>
      <c r="AT769" s="66"/>
      <c r="AU769" s="66"/>
      <c r="AV769" s="66"/>
      <c r="AW769" s="66"/>
      <c r="AX769" s="66"/>
      <c r="AY769" s="66"/>
      <c r="AZ769" s="66"/>
      <c r="BA769" s="66"/>
      <c r="BB769" s="66"/>
      <c r="BC769" s="66"/>
      <c r="BD769" s="66"/>
      <c r="BE769" s="66"/>
      <c r="BF769" s="66"/>
      <c r="BG769" s="66"/>
      <c r="BH769" s="66"/>
      <c r="BI769" s="66"/>
      <c r="BJ769" s="66"/>
      <c r="BK769" s="66"/>
      <c r="BL769" s="66"/>
      <c r="BM769" s="66"/>
      <c r="BN769" s="66"/>
      <c r="BO769" s="66"/>
      <c r="BP769" s="66"/>
      <c r="BQ769" s="66"/>
      <c r="BR769" s="66"/>
      <c r="BS769" s="66"/>
      <c r="BT769" s="66"/>
      <c r="BU769" s="66"/>
      <c r="BV769" s="66"/>
      <c r="BW769" s="66"/>
    </row>
    <row r="770" ht="21.0" customHeight="1">
      <c r="A770" s="12"/>
      <c r="B770" s="32" t="s">
        <v>697</v>
      </c>
      <c r="C770" s="22">
        <f>vlookup(B770,'재고 백업'!$A:$B,2,0)</f>
        <v>34</v>
      </c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  <c r="AS770" s="66"/>
      <c r="AT770" s="66"/>
      <c r="AU770" s="66"/>
      <c r="AV770" s="66"/>
      <c r="AW770" s="66"/>
      <c r="AX770" s="66"/>
      <c r="AY770" s="66"/>
      <c r="AZ770" s="66"/>
      <c r="BA770" s="66"/>
      <c r="BB770" s="66"/>
      <c r="BC770" s="66"/>
      <c r="BD770" s="66"/>
      <c r="BE770" s="66"/>
      <c r="BF770" s="66"/>
      <c r="BG770" s="66"/>
      <c r="BH770" s="66"/>
      <c r="BI770" s="66"/>
      <c r="BJ770" s="66"/>
      <c r="BK770" s="66"/>
      <c r="BL770" s="66"/>
      <c r="BM770" s="66"/>
      <c r="BN770" s="66"/>
      <c r="BO770" s="66"/>
      <c r="BP770" s="66"/>
      <c r="BQ770" s="66"/>
      <c r="BR770" s="66"/>
      <c r="BS770" s="66"/>
      <c r="BT770" s="66"/>
      <c r="BU770" s="66"/>
      <c r="BV770" s="66"/>
      <c r="BW770" s="66"/>
    </row>
    <row r="771" ht="21.0" customHeight="1">
      <c r="A771" s="12"/>
      <c r="B771" s="32" t="s">
        <v>698</v>
      </c>
      <c r="C771" s="22">
        <f>vlookup(B771,'재고 백업'!$A:$B,2,0)</f>
        <v>40</v>
      </c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  <c r="AP771" s="66"/>
      <c r="AQ771" s="66"/>
      <c r="AR771" s="66"/>
      <c r="AS771" s="66"/>
      <c r="AT771" s="66"/>
      <c r="AU771" s="66"/>
      <c r="AV771" s="66"/>
      <c r="AW771" s="66"/>
      <c r="AX771" s="66"/>
      <c r="AY771" s="66"/>
      <c r="AZ771" s="66"/>
      <c r="BA771" s="66"/>
      <c r="BB771" s="66"/>
      <c r="BC771" s="66"/>
      <c r="BD771" s="66"/>
      <c r="BE771" s="66"/>
      <c r="BF771" s="66"/>
      <c r="BG771" s="66"/>
      <c r="BH771" s="66"/>
      <c r="BI771" s="66"/>
      <c r="BJ771" s="66"/>
      <c r="BK771" s="66"/>
      <c r="BL771" s="66"/>
      <c r="BM771" s="66"/>
      <c r="BN771" s="66"/>
      <c r="BO771" s="66"/>
      <c r="BP771" s="66"/>
      <c r="BQ771" s="66"/>
      <c r="BR771" s="66"/>
      <c r="BS771" s="66"/>
      <c r="BT771" s="66"/>
      <c r="BU771" s="66"/>
      <c r="BV771" s="66"/>
      <c r="BW771" s="66"/>
    </row>
    <row r="772" ht="21.0" customHeight="1">
      <c r="A772" s="12"/>
      <c r="B772" s="32" t="s">
        <v>699</v>
      </c>
      <c r="C772" s="22">
        <f>vlookup(B772,'재고 백업'!$A:$B,2,0)</f>
        <v>40</v>
      </c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  <c r="AQ772" s="66"/>
      <c r="AR772" s="66"/>
      <c r="AS772" s="66"/>
      <c r="AT772" s="66"/>
      <c r="AU772" s="66"/>
      <c r="AV772" s="66"/>
      <c r="AW772" s="66"/>
      <c r="AX772" s="66"/>
      <c r="AY772" s="66"/>
      <c r="AZ772" s="66"/>
      <c r="BA772" s="66"/>
      <c r="BB772" s="66"/>
      <c r="BC772" s="66"/>
      <c r="BD772" s="66"/>
      <c r="BE772" s="66"/>
      <c r="BF772" s="66"/>
      <c r="BG772" s="66"/>
      <c r="BH772" s="66"/>
      <c r="BI772" s="66"/>
      <c r="BJ772" s="66"/>
      <c r="BK772" s="66"/>
      <c r="BL772" s="66"/>
      <c r="BM772" s="66"/>
      <c r="BN772" s="66"/>
      <c r="BO772" s="66"/>
      <c r="BP772" s="66"/>
      <c r="BQ772" s="66"/>
      <c r="BR772" s="66"/>
      <c r="BS772" s="66"/>
      <c r="BT772" s="66"/>
      <c r="BU772" s="66"/>
      <c r="BV772" s="66"/>
      <c r="BW772" s="66"/>
    </row>
    <row r="773" ht="21.0" customHeight="1">
      <c r="A773" s="12"/>
      <c r="B773" s="32" t="s">
        <v>700</v>
      </c>
      <c r="C773" s="22">
        <f>vlookup(B773,'재고 백업'!$A:$B,2,0)</f>
        <v>34</v>
      </c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  <c r="AR773" s="66"/>
      <c r="AS773" s="66"/>
      <c r="AT773" s="66"/>
      <c r="AU773" s="66"/>
      <c r="AV773" s="66"/>
      <c r="AW773" s="66"/>
      <c r="AX773" s="66"/>
      <c r="AY773" s="66"/>
      <c r="AZ773" s="66"/>
      <c r="BA773" s="66"/>
      <c r="BB773" s="66"/>
      <c r="BC773" s="66"/>
      <c r="BD773" s="66"/>
      <c r="BE773" s="66"/>
      <c r="BF773" s="66"/>
      <c r="BG773" s="66"/>
      <c r="BH773" s="66"/>
      <c r="BI773" s="66"/>
      <c r="BJ773" s="66"/>
      <c r="BK773" s="66"/>
      <c r="BL773" s="66"/>
      <c r="BM773" s="66"/>
      <c r="BN773" s="66"/>
      <c r="BO773" s="66"/>
      <c r="BP773" s="66"/>
      <c r="BQ773" s="66"/>
      <c r="BR773" s="66"/>
      <c r="BS773" s="66"/>
      <c r="BT773" s="66"/>
      <c r="BU773" s="66"/>
      <c r="BV773" s="66"/>
      <c r="BW773" s="66"/>
    </row>
    <row r="774" ht="21.0" customHeight="1">
      <c r="A774" s="12"/>
      <c r="B774" s="32" t="s">
        <v>701</v>
      </c>
      <c r="C774" s="22">
        <f>vlookup(B774,'재고 백업'!$A:$B,2,0)</f>
        <v>32</v>
      </c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6"/>
      <c r="AS774" s="66"/>
      <c r="AT774" s="66"/>
      <c r="AU774" s="66"/>
      <c r="AV774" s="66"/>
      <c r="AW774" s="66"/>
      <c r="AX774" s="66"/>
      <c r="AY774" s="66"/>
      <c r="AZ774" s="66"/>
      <c r="BA774" s="66"/>
      <c r="BB774" s="66"/>
      <c r="BC774" s="66"/>
      <c r="BD774" s="66"/>
      <c r="BE774" s="66"/>
      <c r="BF774" s="66"/>
      <c r="BG774" s="66"/>
      <c r="BH774" s="66"/>
      <c r="BI774" s="66"/>
      <c r="BJ774" s="66"/>
      <c r="BK774" s="66"/>
      <c r="BL774" s="66"/>
      <c r="BM774" s="66"/>
      <c r="BN774" s="66"/>
      <c r="BO774" s="66"/>
      <c r="BP774" s="66"/>
      <c r="BQ774" s="66"/>
      <c r="BR774" s="66"/>
      <c r="BS774" s="66"/>
      <c r="BT774" s="66"/>
      <c r="BU774" s="66"/>
      <c r="BV774" s="66"/>
      <c r="BW774" s="66"/>
    </row>
    <row r="775" ht="21.0" customHeight="1">
      <c r="A775" s="12"/>
      <c r="B775" s="32" t="s">
        <v>702</v>
      </c>
      <c r="C775" s="22">
        <f>vlookup(B775,'재고 백업'!$A:$B,2,0)</f>
        <v>44</v>
      </c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  <c r="AR775" s="66"/>
      <c r="AS775" s="66"/>
      <c r="AT775" s="66"/>
      <c r="AU775" s="66"/>
      <c r="AV775" s="66"/>
      <c r="AW775" s="66"/>
      <c r="AX775" s="66"/>
      <c r="AY775" s="66"/>
      <c r="AZ775" s="66"/>
      <c r="BA775" s="66"/>
      <c r="BB775" s="66"/>
      <c r="BC775" s="66"/>
      <c r="BD775" s="66"/>
      <c r="BE775" s="66"/>
      <c r="BF775" s="66"/>
      <c r="BG775" s="66"/>
      <c r="BH775" s="66"/>
      <c r="BI775" s="66"/>
      <c r="BJ775" s="66"/>
      <c r="BK775" s="66"/>
      <c r="BL775" s="66"/>
      <c r="BM775" s="66"/>
      <c r="BN775" s="66"/>
      <c r="BO775" s="66"/>
      <c r="BP775" s="66"/>
      <c r="BQ775" s="66"/>
      <c r="BR775" s="66"/>
      <c r="BS775" s="66"/>
      <c r="BT775" s="66"/>
      <c r="BU775" s="66"/>
      <c r="BV775" s="66"/>
      <c r="BW775" s="66"/>
    </row>
    <row r="776" ht="21.0" customHeight="1">
      <c r="A776" s="12"/>
      <c r="B776" s="32" t="s">
        <v>703</v>
      </c>
      <c r="C776" s="22">
        <f>vlookup(B776,'재고 백업'!$A:$B,2,0)</f>
        <v>48</v>
      </c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  <c r="AQ776" s="66"/>
      <c r="AR776" s="66"/>
      <c r="AS776" s="66"/>
      <c r="AT776" s="66"/>
      <c r="AU776" s="66"/>
      <c r="AV776" s="66"/>
      <c r="AW776" s="66"/>
      <c r="AX776" s="66"/>
      <c r="AY776" s="66"/>
      <c r="AZ776" s="66"/>
      <c r="BA776" s="66"/>
      <c r="BB776" s="66"/>
      <c r="BC776" s="66"/>
      <c r="BD776" s="66"/>
      <c r="BE776" s="66"/>
      <c r="BF776" s="66"/>
      <c r="BG776" s="66"/>
      <c r="BH776" s="66"/>
      <c r="BI776" s="66"/>
      <c r="BJ776" s="66"/>
      <c r="BK776" s="66"/>
      <c r="BL776" s="66"/>
      <c r="BM776" s="66"/>
      <c r="BN776" s="66"/>
      <c r="BO776" s="66"/>
      <c r="BP776" s="66"/>
      <c r="BQ776" s="66"/>
      <c r="BR776" s="66"/>
      <c r="BS776" s="66"/>
      <c r="BT776" s="66"/>
      <c r="BU776" s="66"/>
      <c r="BV776" s="66"/>
      <c r="BW776" s="66"/>
    </row>
    <row r="777" ht="21.0" customHeight="1">
      <c r="A777" s="12"/>
      <c r="B777" s="32" t="s">
        <v>704</v>
      </c>
      <c r="C777" s="22">
        <f>vlookup(B777,'재고 백업'!$A:$B,2,0)</f>
        <v>44</v>
      </c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  <c r="AP777" s="66"/>
      <c r="AQ777" s="66"/>
      <c r="AR777" s="66"/>
      <c r="AS777" s="66"/>
      <c r="AT777" s="66"/>
      <c r="AU777" s="66"/>
      <c r="AV777" s="66"/>
      <c r="AW777" s="66"/>
      <c r="AX777" s="66"/>
      <c r="AY777" s="66"/>
      <c r="AZ777" s="66"/>
      <c r="BA777" s="66"/>
      <c r="BB777" s="66"/>
      <c r="BC777" s="66"/>
      <c r="BD777" s="66"/>
      <c r="BE777" s="66"/>
      <c r="BF777" s="66"/>
      <c r="BG777" s="66"/>
      <c r="BH777" s="66"/>
      <c r="BI777" s="66"/>
      <c r="BJ777" s="66"/>
      <c r="BK777" s="66"/>
      <c r="BL777" s="66"/>
      <c r="BM777" s="66"/>
      <c r="BN777" s="66"/>
      <c r="BO777" s="66"/>
      <c r="BP777" s="66"/>
      <c r="BQ777" s="66"/>
      <c r="BR777" s="66"/>
      <c r="BS777" s="66"/>
      <c r="BT777" s="66"/>
      <c r="BU777" s="66"/>
      <c r="BV777" s="66"/>
      <c r="BW777" s="66"/>
    </row>
    <row r="778" ht="21.0" customHeight="1">
      <c r="A778" s="12"/>
      <c r="B778" s="32" t="s">
        <v>705</v>
      </c>
      <c r="C778" s="22">
        <f>vlookup(B778,'재고 백업'!$A:$B,2,0)</f>
        <v>44</v>
      </c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  <c r="AQ778" s="66"/>
      <c r="AR778" s="66"/>
      <c r="AS778" s="66"/>
      <c r="AT778" s="66"/>
      <c r="AU778" s="66"/>
      <c r="AV778" s="66"/>
      <c r="AW778" s="66"/>
      <c r="AX778" s="66"/>
      <c r="AY778" s="66"/>
      <c r="AZ778" s="66"/>
      <c r="BA778" s="66"/>
      <c r="BB778" s="66"/>
      <c r="BC778" s="66"/>
      <c r="BD778" s="66"/>
      <c r="BE778" s="66"/>
      <c r="BF778" s="66"/>
      <c r="BG778" s="66"/>
      <c r="BH778" s="66"/>
      <c r="BI778" s="66"/>
      <c r="BJ778" s="66"/>
      <c r="BK778" s="66"/>
      <c r="BL778" s="66"/>
      <c r="BM778" s="66"/>
      <c r="BN778" s="66"/>
      <c r="BO778" s="66"/>
      <c r="BP778" s="66"/>
      <c r="BQ778" s="66"/>
      <c r="BR778" s="66"/>
      <c r="BS778" s="66"/>
      <c r="BT778" s="66"/>
      <c r="BU778" s="66"/>
      <c r="BV778" s="66"/>
      <c r="BW778" s="66"/>
    </row>
    <row r="779" ht="21.0" customHeight="1">
      <c r="A779" s="12"/>
      <c r="B779" s="32" t="s">
        <v>706</v>
      </c>
      <c r="C779" s="22">
        <f>vlookup(B779,'재고 백업'!$A:$B,2,0)</f>
        <v>48</v>
      </c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  <c r="AQ779" s="66"/>
      <c r="AR779" s="66"/>
      <c r="AS779" s="66"/>
      <c r="AT779" s="66"/>
      <c r="AU779" s="66"/>
      <c r="AV779" s="66"/>
      <c r="AW779" s="66"/>
      <c r="AX779" s="66"/>
      <c r="AY779" s="66"/>
      <c r="AZ779" s="66"/>
      <c r="BA779" s="66"/>
      <c r="BB779" s="66"/>
      <c r="BC779" s="66"/>
      <c r="BD779" s="66"/>
      <c r="BE779" s="66"/>
      <c r="BF779" s="66"/>
      <c r="BG779" s="66"/>
      <c r="BH779" s="66"/>
      <c r="BI779" s="66"/>
      <c r="BJ779" s="66"/>
      <c r="BK779" s="66"/>
      <c r="BL779" s="66"/>
      <c r="BM779" s="66"/>
      <c r="BN779" s="66"/>
      <c r="BO779" s="66"/>
      <c r="BP779" s="66"/>
      <c r="BQ779" s="66"/>
      <c r="BR779" s="66"/>
      <c r="BS779" s="66"/>
      <c r="BT779" s="66"/>
      <c r="BU779" s="66"/>
      <c r="BV779" s="66"/>
      <c r="BW779" s="66"/>
    </row>
    <row r="780" ht="21.0" customHeight="1">
      <c r="A780" s="12"/>
      <c r="B780" s="32" t="s">
        <v>707</v>
      </c>
      <c r="C780" s="22">
        <f>vlookup(B780,'재고 백업'!$A:$B,2,0)</f>
        <v>41</v>
      </c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  <c r="AR780" s="66"/>
      <c r="AS780" s="66"/>
      <c r="AT780" s="66"/>
      <c r="AU780" s="66"/>
      <c r="AV780" s="66"/>
      <c r="AW780" s="66"/>
      <c r="AX780" s="66"/>
      <c r="AY780" s="66"/>
      <c r="AZ780" s="66"/>
      <c r="BA780" s="66"/>
      <c r="BB780" s="66"/>
      <c r="BC780" s="66"/>
      <c r="BD780" s="66"/>
      <c r="BE780" s="66"/>
      <c r="BF780" s="66"/>
      <c r="BG780" s="66"/>
      <c r="BH780" s="66"/>
      <c r="BI780" s="66"/>
      <c r="BJ780" s="66"/>
      <c r="BK780" s="66"/>
      <c r="BL780" s="66"/>
      <c r="BM780" s="66"/>
      <c r="BN780" s="66"/>
      <c r="BO780" s="66"/>
      <c r="BP780" s="66"/>
      <c r="BQ780" s="66"/>
      <c r="BR780" s="66"/>
      <c r="BS780" s="66"/>
      <c r="BT780" s="66"/>
      <c r="BU780" s="66"/>
      <c r="BV780" s="66"/>
      <c r="BW780" s="66"/>
    </row>
    <row r="781" ht="21.0" customHeight="1">
      <c r="A781" s="12"/>
      <c r="B781" s="32" t="s">
        <v>708</v>
      </c>
      <c r="C781" s="22">
        <f>vlookup(B781,'재고 백업'!$A:$B,2,0)</f>
        <v>28</v>
      </c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  <c r="AR781" s="66"/>
      <c r="AS781" s="66"/>
      <c r="AT781" s="66"/>
      <c r="AU781" s="66"/>
      <c r="AV781" s="66"/>
      <c r="AW781" s="66"/>
      <c r="AX781" s="66"/>
      <c r="AY781" s="66"/>
      <c r="AZ781" s="66"/>
      <c r="BA781" s="66"/>
      <c r="BB781" s="66"/>
      <c r="BC781" s="66"/>
      <c r="BD781" s="66"/>
      <c r="BE781" s="66"/>
      <c r="BF781" s="66"/>
      <c r="BG781" s="66"/>
      <c r="BH781" s="66"/>
      <c r="BI781" s="66"/>
      <c r="BJ781" s="66"/>
      <c r="BK781" s="66"/>
      <c r="BL781" s="66"/>
      <c r="BM781" s="66"/>
      <c r="BN781" s="66"/>
      <c r="BO781" s="66"/>
      <c r="BP781" s="66"/>
      <c r="BQ781" s="66"/>
      <c r="BR781" s="66"/>
      <c r="BS781" s="66"/>
      <c r="BT781" s="66"/>
      <c r="BU781" s="66"/>
      <c r="BV781" s="66"/>
      <c r="BW781" s="66"/>
    </row>
    <row r="782" ht="21.0" customHeight="1">
      <c r="A782" s="12"/>
      <c r="B782" s="32" t="s">
        <v>709</v>
      </c>
      <c r="C782" s="22">
        <f>vlookup(B782,'재고 백업'!$A:$B,2,0)</f>
        <v>14</v>
      </c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  <c r="AQ782" s="66"/>
      <c r="AR782" s="66"/>
      <c r="AS782" s="66"/>
      <c r="AT782" s="66"/>
      <c r="AU782" s="66"/>
      <c r="AV782" s="66"/>
      <c r="AW782" s="66"/>
      <c r="AX782" s="66"/>
      <c r="AY782" s="66"/>
      <c r="AZ782" s="66"/>
      <c r="BA782" s="66"/>
      <c r="BB782" s="66"/>
      <c r="BC782" s="66"/>
      <c r="BD782" s="66"/>
      <c r="BE782" s="66"/>
      <c r="BF782" s="66"/>
      <c r="BG782" s="66"/>
      <c r="BH782" s="66"/>
      <c r="BI782" s="66"/>
      <c r="BJ782" s="66"/>
      <c r="BK782" s="66"/>
      <c r="BL782" s="66"/>
      <c r="BM782" s="66"/>
      <c r="BN782" s="66"/>
      <c r="BO782" s="66"/>
      <c r="BP782" s="66"/>
      <c r="BQ782" s="66"/>
      <c r="BR782" s="66"/>
      <c r="BS782" s="66"/>
      <c r="BT782" s="66"/>
      <c r="BU782" s="66"/>
      <c r="BV782" s="66"/>
      <c r="BW782" s="66"/>
    </row>
    <row r="783" ht="21.0" customHeight="1">
      <c r="A783" s="12"/>
      <c r="B783" s="32" t="s">
        <v>710</v>
      </c>
      <c r="C783" s="22">
        <f>vlookup(B783,'재고 백업'!$A:$B,2,0)</f>
        <v>32</v>
      </c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  <c r="AQ783" s="66"/>
      <c r="AR783" s="66"/>
      <c r="AS783" s="66"/>
      <c r="AT783" s="66"/>
      <c r="AU783" s="66"/>
      <c r="AV783" s="66"/>
      <c r="AW783" s="66"/>
      <c r="AX783" s="66"/>
      <c r="AY783" s="66"/>
      <c r="AZ783" s="66"/>
      <c r="BA783" s="66"/>
      <c r="BB783" s="66"/>
      <c r="BC783" s="66"/>
      <c r="BD783" s="66"/>
      <c r="BE783" s="66"/>
      <c r="BF783" s="66"/>
      <c r="BG783" s="66"/>
      <c r="BH783" s="66"/>
      <c r="BI783" s="66"/>
      <c r="BJ783" s="66"/>
      <c r="BK783" s="66"/>
      <c r="BL783" s="66"/>
      <c r="BM783" s="66"/>
      <c r="BN783" s="66"/>
      <c r="BO783" s="66"/>
      <c r="BP783" s="66"/>
      <c r="BQ783" s="66"/>
      <c r="BR783" s="66"/>
      <c r="BS783" s="66"/>
      <c r="BT783" s="66"/>
      <c r="BU783" s="66"/>
      <c r="BV783" s="66"/>
      <c r="BW783" s="66"/>
    </row>
    <row r="784" ht="21.0" customHeight="1">
      <c r="A784" s="12"/>
      <c r="B784" s="32" t="s">
        <v>711</v>
      </c>
      <c r="C784" s="22">
        <f>vlookup(B784,'재고 백업'!$A:$B,2,0)</f>
        <v>32</v>
      </c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  <c r="AR784" s="66"/>
      <c r="AS784" s="66"/>
      <c r="AT784" s="66"/>
      <c r="AU784" s="66"/>
      <c r="AV784" s="66"/>
      <c r="AW784" s="66"/>
      <c r="AX784" s="66"/>
      <c r="AY784" s="66"/>
      <c r="AZ784" s="66"/>
      <c r="BA784" s="66"/>
      <c r="BB784" s="66"/>
      <c r="BC784" s="66"/>
      <c r="BD784" s="66"/>
      <c r="BE784" s="66"/>
      <c r="BF784" s="66"/>
      <c r="BG784" s="66"/>
      <c r="BH784" s="66"/>
      <c r="BI784" s="66"/>
      <c r="BJ784" s="66"/>
      <c r="BK784" s="66"/>
      <c r="BL784" s="66"/>
      <c r="BM784" s="66"/>
      <c r="BN784" s="66"/>
      <c r="BO784" s="66"/>
      <c r="BP784" s="66"/>
      <c r="BQ784" s="66"/>
      <c r="BR784" s="66"/>
      <c r="BS784" s="66"/>
      <c r="BT784" s="66"/>
      <c r="BU784" s="66"/>
      <c r="BV784" s="66"/>
      <c r="BW784" s="66"/>
    </row>
    <row r="785" ht="21.0" customHeight="1">
      <c r="A785" s="12"/>
      <c r="B785" s="32" t="s">
        <v>712</v>
      </c>
      <c r="C785" s="22">
        <f>vlookup(B785,'재고 백업'!$A:$B,2,0)</f>
        <v>9</v>
      </c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  <c r="AQ785" s="66"/>
      <c r="AR785" s="66"/>
      <c r="AS785" s="66"/>
      <c r="AT785" s="66"/>
      <c r="AU785" s="66"/>
      <c r="AV785" s="66"/>
      <c r="AW785" s="66"/>
      <c r="AX785" s="66"/>
      <c r="AY785" s="66"/>
      <c r="AZ785" s="66"/>
      <c r="BA785" s="66"/>
      <c r="BB785" s="66"/>
      <c r="BC785" s="66"/>
      <c r="BD785" s="66"/>
      <c r="BE785" s="66"/>
      <c r="BF785" s="66"/>
      <c r="BG785" s="66"/>
      <c r="BH785" s="66"/>
      <c r="BI785" s="66"/>
      <c r="BJ785" s="66"/>
      <c r="BK785" s="66"/>
      <c r="BL785" s="66"/>
      <c r="BM785" s="66"/>
      <c r="BN785" s="66"/>
      <c r="BO785" s="66"/>
      <c r="BP785" s="66"/>
      <c r="BQ785" s="66"/>
      <c r="BR785" s="66"/>
      <c r="BS785" s="66"/>
      <c r="BT785" s="66"/>
      <c r="BU785" s="66"/>
      <c r="BV785" s="66"/>
      <c r="BW785" s="66"/>
    </row>
    <row r="786" ht="21.0" customHeight="1">
      <c r="A786" s="12"/>
      <c r="B786" s="32" t="s">
        <v>713</v>
      </c>
      <c r="C786" s="22">
        <f>vlookup(B786,'재고 백업'!$A:$B,2,0)</f>
        <v>118</v>
      </c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  <c r="AP786" s="66"/>
      <c r="AQ786" s="66"/>
      <c r="AR786" s="66"/>
      <c r="AS786" s="66"/>
      <c r="AT786" s="66"/>
      <c r="AU786" s="66"/>
      <c r="AV786" s="66"/>
      <c r="AW786" s="66"/>
      <c r="AX786" s="66"/>
      <c r="AY786" s="66"/>
      <c r="AZ786" s="66"/>
      <c r="BA786" s="66"/>
      <c r="BB786" s="66"/>
      <c r="BC786" s="66"/>
      <c r="BD786" s="66"/>
      <c r="BE786" s="66"/>
      <c r="BF786" s="66"/>
      <c r="BG786" s="66"/>
      <c r="BH786" s="66"/>
      <c r="BI786" s="66"/>
      <c r="BJ786" s="66"/>
      <c r="BK786" s="66"/>
      <c r="BL786" s="66"/>
      <c r="BM786" s="66"/>
      <c r="BN786" s="66"/>
      <c r="BO786" s="66"/>
      <c r="BP786" s="66"/>
      <c r="BQ786" s="66"/>
      <c r="BR786" s="66"/>
      <c r="BS786" s="66"/>
      <c r="BT786" s="66"/>
      <c r="BU786" s="66"/>
      <c r="BV786" s="66"/>
      <c r="BW786" s="66"/>
    </row>
    <row r="787" ht="21.0" customHeight="1">
      <c r="A787" s="12"/>
      <c r="B787" s="32" t="s">
        <v>714</v>
      </c>
      <c r="C787" s="22">
        <f>vlookup(B787,'재고 백업'!$A:$B,2,0)</f>
        <v>24</v>
      </c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  <c r="AP787" s="66"/>
      <c r="AQ787" s="66"/>
      <c r="AR787" s="66"/>
      <c r="AS787" s="66"/>
      <c r="AT787" s="66"/>
      <c r="AU787" s="66"/>
      <c r="AV787" s="66"/>
      <c r="AW787" s="66"/>
      <c r="AX787" s="66"/>
      <c r="AY787" s="66"/>
      <c r="AZ787" s="66"/>
      <c r="BA787" s="66"/>
      <c r="BB787" s="66"/>
      <c r="BC787" s="66"/>
      <c r="BD787" s="66"/>
      <c r="BE787" s="66"/>
      <c r="BF787" s="66"/>
      <c r="BG787" s="66"/>
      <c r="BH787" s="66"/>
      <c r="BI787" s="66"/>
      <c r="BJ787" s="66"/>
      <c r="BK787" s="66"/>
      <c r="BL787" s="66"/>
      <c r="BM787" s="66"/>
      <c r="BN787" s="66"/>
      <c r="BO787" s="66"/>
      <c r="BP787" s="66"/>
      <c r="BQ787" s="66"/>
      <c r="BR787" s="66"/>
      <c r="BS787" s="66"/>
      <c r="BT787" s="66"/>
      <c r="BU787" s="66"/>
      <c r="BV787" s="66"/>
      <c r="BW787" s="66"/>
    </row>
    <row r="788" ht="21.0" customHeight="1">
      <c r="A788" s="12"/>
      <c r="B788" s="32" t="s">
        <v>715</v>
      </c>
      <c r="C788" s="22">
        <f>vlookup(B788,'재고 백업'!$A:$B,2,0)</f>
        <v>628</v>
      </c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  <c r="AQ788" s="66"/>
      <c r="AR788" s="66"/>
      <c r="AS788" s="66"/>
      <c r="AT788" s="66"/>
      <c r="AU788" s="66"/>
      <c r="AV788" s="66"/>
      <c r="AW788" s="66"/>
      <c r="AX788" s="66"/>
      <c r="AY788" s="66"/>
      <c r="AZ788" s="66"/>
      <c r="BA788" s="66"/>
      <c r="BB788" s="66"/>
      <c r="BC788" s="66"/>
      <c r="BD788" s="66"/>
      <c r="BE788" s="66"/>
      <c r="BF788" s="66"/>
      <c r="BG788" s="66"/>
      <c r="BH788" s="66"/>
      <c r="BI788" s="66"/>
      <c r="BJ788" s="66"/>
      <c r="BK788" s="66"/>
      <c r="BL788" s="66"/>
      <c r="BM788" s="66"/>
      <c r="BN788" s="66"/>
      <c r="BO788" s="66"/>
      <c r="BP788" s="66"/>
      <c r="BQ788" s="66"/>
      <c r="BR788" s="66"/>
      <c r="BS788" s="66"/>
      <c r="BT788" s="66"/>
      <c r="BU788" s="66"/>
      <c r="BV788" s="66"/>
      <c r="BW788" s="66"/>
    </row>
    <row r="789" ht="21.0" customHeight="1">
      <c r="A789" s="12"/>
      <c r="B789" s="32" t="s">
        <v>716</v>
      </c>
      <c r="C789" s="22">
        <f>vlookup(B789,'재고 백업'!$A:$B,2,0)</f>
        <v>24</v>
      </c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  <c r="AP789" s="66"/>
      <c r="AQ789" s="66"/>
      <c r="AR789" s="66"/>
      <c r="AS789" s="66"/>
      <c r="AT789" s="66"/>
      <c r="AU789" s="66"/>
      <c r="AV789" s="66"/>
      <c r="AW789" s="66"/>
      <c r="AX789" s="66"/>
      <c r="AY789" s="66"/>
      <c r="AZ789" s="66"/>
      <c r="BA789" s="66"/>
      <c r="BB789" s="66"/>
      <c r="BC789" s="66"/>
      <c r="BD789" s="66"/>
      <c r="BE789" s="66"/>
      <c r="BF789" s="66"/>
      <c r="BG789" s="66"/>
      <c r="BH789" s="66"/>
      <c r="BI789" s="66"/>
      <c r="BJ789" s="66"/>
      <c r="BK789" s="66"/>
      <c r="BL789" s="66"/>
      <c r="BM789" s="66"/>
      <c r="BN789" s="66"/>
      <c r="BO789" s="66"/>
      <c r="BP789" s="66"/>
      <c r="BQ789" s="66"/>
      <c r="BR789" s="66"/>
      <c r="BS789" s="66"/>
      <c r="BT789" s="66"/>
      <c r="BU789" s="66"/>
      <c r="BV789" s="66"/>
      <c r="BW789" s="66"/>
    </row>
    <row r="790" ht="21.0" customHeight="1">
      <c r="A790" s="12"/>
      <c r="B790" s="32" t="s">
        <v>717</v>
      </c>
      <c r="C790" s="22">
        <f>vlookup(B790,'재고 백업'!$A:$B,2,0)</f>
        <v>14</v>
      </c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  <c r="AR790" s="66"/>
      <c r="AS790" s="66"/>
      <c r="AT790" s="66"/>
      <c r="AU790" s="66"/>
      <c r="AV790" s="66"/>
      <c r="AW790" s="66"/>
      <c r="AX790" s="66"/>
      <c r="AY790" s="66"/>
      <c r="AZ790" s="66"/>
      <c r="BA790" s="66"/>
      <c r="BB790" s="66"/>
      <c r="BC790" s="66"/>
      <c r="BD790" s="66"/>
      <c r="BE790" s="66"/>
      <c r="BF790" s="66"/>
      <c r="BG790" s="66"/>
      <c r="BH790" s="66"/>
      <c r="BI790" s="66"/>
      <c r="BJ790" s="66"/>
      <c r="BK790" s="66"/>
      <c r="BL790" s="66"/>
      <c r="BM790" s="66"/>
      <c r="BN790" s="66"/>
      <c r="BO790" s="66"/>
      <c r="BP790" s="66"/>
      <c r="BQ790" s="66"/>
      <c r="BR790" s="66"/>
      <c r="BS790" s="66"/>
      <c r="BT790" s="66"/>
      <c r="BU790" s="66"/>
      <c r="BV790" s="66"/>
      <c r="BW790" s="66"/>
    </row>
    <row r="791" ht="21.0" customHeight="1">
      <c r="A791" s="12"/>
      <c r="B791" s="32" t="s">
        <v>718</v>
      </c>
      <c r="C791" s="22">
        <f>vlookup(B791,'재고 백업'!$A:$B,2,0)</f>
        <v>24</v>
      </c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  <c r="AP791" s="66"/>
      <c r="AQ791" s="66"/>
      <c r="AR791" s="66"/>
      <c r="AS791" s="66"/>
      <c r="AT791" s="66"/>
      <c r="AU791" s="66"/>
      <c r="AV791" s="66"/>
      <c r="AW791" s="66"/>
      <c r="AX791" s="66"/>
      <c r="AY791" s="66"/>
      <c r="AZ791" s="66"/>
      <c r="BA791" s="66"/>
      <c r="BB791" s="66"/>
      <c r="BC791" s="66"/>
      <c r="BD791" s="66"/>
      <c r="BE791" s="66"/>
      <c r="BF791" s="66"/>
      <c r="BG791" s="66"/>
      <c r="BH791" s="66"/>
      <c r="BI791" s="66"/>
      <c r="BJ791" s="66"/>
      <c r="BK791" s="66"/>
      <c r="BL791" s="66"/>
      <c r="BM791" s="66"/>
      <c r="BN791" s="66"/>
      <c r="BO791" s="66"/>
      <c r="BP791" s="66"/>
      <c r="BQ791" s="66"/>
      <c r="BR791" s="66"/>
      <c r="BS791" s="66"/>
      <c r="BT791" s="66"/>
      <c r="BU791" s="66"/>
      <c r="BV791" s="66"/>
      <c r="BW791" s="66"/>
    </row>
    <row r="792" ht="21.0" customHeight="1">
      <c r="A792" s="12"/>
      <c r="B792" s="32" t="s">
        <v>719</v>
      </c>
      <c r="C792" s="22">
        <f>vlookup(B792,'재고 백업'!$A:$B,2,0)</f>
        <v>24</v>
      </c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  <c r="AP792" s="66"/>
      <c r="AQ792" s="66"/>
      <c r="AR792" s="66"/>
      <c r="AS792" s="66"/>
      <c r="AT792" s="66"/>
      <c r="AU792" s="66"/>
      <c r="AV792" s="66"/>
      <c r="AW792" s="66"/>
      <c r="AX792" s="66"/>
      <c r="AY792" s="66"/>
      <c r="AZ792" s="66"/>
      <c r="BA792" s="66"/>
      <c r="BB792" s="66"/>
      <c r="BC792" s="66"/>
      <c r="BD792" s="66"/>
      <c r="BE792" s="66"/>
      <c r="BF792" s="66"/>
      <c r="BG792" s="66"/>
      <c r="BH792" s="66"/>
      <c r="BI792" s="66"/>
      <c r="BJ792" s="66"/>
      <c r="BK792" s="66"/>
      <c r="BL792" s="66"/>
      <c r="BM792" s="66"/>
      <c r="BN792" s="66"/>
      <c r="BO792" s="66"/>
      <c r="BP792" s="66"/>
      <c r="BQ792" s="66"/>
      <c r="BR792" s="66"/>
      <c r="BS792" s="66"/>
      <c r="BT792" s="66"/>
      <c r="BU792" s="66"/>
      <c r="BV792" s="66"/>
      <c r="BW792" s="66"/>
    </row>
    <row r="793" ht="21.0" customHeight="1">
      <c r="A793" s="12"/>
      <c r="B793" s="32" t="s">
        <v>720</v>
      </c>
      <c r="C793" s="22">
        <f>vlookup(B793,'재고 백업'!$A:$B,2,0)</f>
        <v>5</v>
      </c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  <c r="AP793" s="66"/>
      <c r="AQ793" s="66"/>
      <c r="AR793" s="66"/>
      <c r="AS793" s="66"/>
      <c r="AT793" s="66"/>
      <c r="AU793" s="66"/>
      <c r="AV793" s="66"/>
      <c r="AW793" s="66"/>
      <c r="AX793" s="66"/>
      <c r="AY793" s="66"/>
      <c r="AZ793" s="66"/>
      <c r="BA793" s="66"/>
      <c r="BB793" s="66"/>
      <c r="BC793" s="66"/>
      <c r="BD793" s="66"/>
      <c r="BE793" s="66"/>
      <c r="BF793" s="66"/>
      <c r="BG793" s="66"/>
      <c r="BH793" s="66"/>
      <c r="BI793" s="66"/>
      <c r="BJ793" s="66"/>
      <c r="BK793" s="66"/>
      <c r="BL793" s="66"/>
      <c r="BM793" s="66"/>
      <c r="BN793" s="66"/>
      <c r="BO793" s="66"/>
      <c r="BP793" s="66"/>
      <c r="BQ793" s="66"/>
      <c r="BR793" s="66"/>
      <c r="BS793" s="66"/>
      <c r="BT793" s="66"/>
      <c r="BU793" s="66"/>
      <c r="BV793" s="66"/>
      <c r="BW793" s="66"/>
    </row>
    <row r="794" ht="21.0" customHeight="1">
      <c r="A794" s="12"/>
      <c r="B794" s="32" t="s">
        <v>721</v>
      </c>
      <c r="C794" s="22">
        <f>vlookup(B794,'재고 백업'!$A:$B,2,0)</f>
        <v>147</v>
      </c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  <c r="AS794" s="66"/>
      <c r="AT794" s="66"/>
      <c r="AU794" s="66"/>
      <c r="AV794" s="66"/>
      <c r="AW794" s="66"/>
      <c r="AX794" s="66"/>
      <c r="AY794" s="66"/>
      <c r="AZ794" s="66"/>
      <c r="BA794" s="66"/>
      <c r="BB794" s="66"/>
      <c r="BC794" s="66"/>
      <c r="BD794" s="66"/>
      <c r="BE794" s="66"/>
      <c r="BF794" s="66"/>
      <c r="BG794" s="66"/>
      <c r="BH794" s="66"/>
      <c r="BI794" s="66"/>
      <c r="BJ794" s="66"/>
      <c r="BK794" s="66"/>
      <c r="BL794" s="66"/>
      <c r="BM794" s="66"/>
      <c r="BN794" s="66"/>
      <c r="BO794" s="66"/>
      <c r="BP794" s="66"/>
      <c r="BQ794" s="66"/>
      <c r="BR794" s="66"/>
      <c r="BS794" s="66"/>
      <c r="BT794" s="66"/>
      <c r="BU794" s="66"/>
      <c r="BV794" s="66"/>
      <c r="BW794" s="66"/>
    </row>
    <row r="795" ht="21.0" customHeight="1">
      <c r="A795" s="12"/>
      <c r="B795" s="32" t="s">
        <v>722</v>
      </c>
      <c r="C795" s="22">
        <f>vlookup(B795,'재고 백업'!$A:$B,2,0)</f>
        <v>14</v>
      </c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  <c r="AP795" s="66"/>
      <c r="AQ795" s="66"/>
      <c r="AR795" s="66"/>
      <c r="AS795" s="66"/>
      <c r="AT795" s="66"/>
      <c r="AU795" s="66"/>
      <c r="AV795" s="66"/>
      <c r="AW795" s="66"/>
      <c r="AX795" s="66"/>
      <c r="AY795" s="66"/>
      <c r="AZ795" s="66"/>
      <c r="BA795" s="66"/>
      <c r="BB795" s="66"/>
      <c r="BC795" s="66"/>
      <c r="BD795" s="66"/>
      <c r="BE795" s="66"/>
      <c r="BF795" s="66"/>
      <c r="BG795" s="66"/>
      <c r="BH795" s="66"/>
      <c r="BI795" s="66"/>
      <c r="BJ795" s="66"/>
      <c r="BK795" s="66"/>
      <c r="BL795" s="66"/>
      <c r="BM795" s="66"/>
      <c r="BN795" s="66"/>
      <c r="BO795" s="66"/>
      <c r="BP795" s="66"/>
      <c r="BQ795" s="66"/>
      <c r="BR795" s="66"/>
      <c r="BS795" s="66"/>
      <c r="BT795" s="66"/>
      <c r="BU795" s="66"/>
      <c r="BV795" s="66"/>
      <c r="BW795" s="66"/>
    </row>
    <row r="796" ht="21.0" customHeight="1">
      <c r="A796" s="12"/>
      <c r="B796" s="32" t="s">
        <v>723</v>
      </c>
      <c r="C796" s="22">
        <f>vlookup(B796,'재고 백업'!$A:$B,2,0)</f>
        <v>38</v>
      </c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  <c r="AP796" s="66"/>
      <c r="AQ796" s="66"/>
      <c r="AR796" s="66"/>
      <c r="AS796" s="66"/>
      <c r="AT796" s="66"/>
      <c r="AU796" s="66"/>
      <c r="AV796" s="66"/>
      <c r="AW796" s="66"/>
      <c r="AX796" s="66"/>
      <c r="AY796" s="66"/>
      <c r="AZ796" s="66"/>
      <c r="BA796" s="66"/>
      <c r="BB796" s="66"/>
      <c r="BC796" s="66"/>
      <c r="BD796" s="66"/>
      <c r="BE796" s="66"/>
      <c r="BF796" s="66"/>
      <c r="BG796" s="66"/>
      <c r="BH796" s="66"/>
      <c r="BI796" s="66"/>
      <c r="BJ796" s="66"/>
      <c r="BK796" s="66"/>
      <c r="BL796" s="66"/>
      <c r="BM796" s="66"/>
      <c r="BN796" s="66"/>
      <c r="BO796" s="66"/>
      <c r="BP796" s="66"/>
      <c r="BQ796" s="66"/>
      <c r="BR796" s="66"/>
      <c r="BS796" s="66"/>
      <c r="BT796" s="66"/>
      <c r="BU796" s="66"/>
      <c r="BV796" s="66"/>
      <c r="BW796" s="66"/>
    </row>
    <row r="797" ht="21.0" customHeight="1">
      <c r="A797" s="12"/>
      <c r="B797" s="32" t="s">
        <v>724</v>
      </c>
      <c r="C797" s="22" t="str">
        <f>vlookup(B797,'재고 백업'!$A:$B,2,0)</f>
        <v>-</v>
      </c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  <c r="AP797" s="66"/>
      <c r="AQ797" s="66"/>
      <c r="AR797" s="66"/>
      <c r="AS797" s="66"/>
      <c r="AT797" s="66"/>
      <c r="AU797" s="66"/>
      <c r="AV797" s="66"/>
      <c r="AW797" s="66"/>
      <c r="AX797" s="66"/>
      <c r="AY797" s="66"/>
      <c r="AZ797" s="66"/>
      <c r="BA797" s="66"/>
      <c r="BB797" s="66"/>
      <c r="BC797" s="66"/>
      <c r="BD797" s="66"/>
      <c r="BE797" s="66"/>
      <c r="BF797" s="66"/>
      <c r="BG797" s="66"/>
      <c r="BH797" s="66"/>
      <c r="BI797" s="66"/>
      <c r="BJ797" s="66"/>
      <c r="BK797" s="66"/>
      <c r="BL797" s="66"/>
      <c r="BM797" s="66"/>
      <c r="BN797" s="66"/>
      <c r="BO797" s="66"/>
      <c r="BP797" s="66"/>
      <c r="BQ797" s="66"/>
      <c r="BR797" s="66"/>
      <c r="BS797" s="66"/>
      <c r="BT797" s="66"/>
      <c r="BU797" s="66"/>
      <c r="BV797" s="66"/>
      <c r="BW797" s="66"/>
    </row>
    <row r="798" ht="21.0" customHeight="1">
      <c r="A798" s="12"/>
      <c r="B798" s="32" t="s">
        <v>725</v>
      </c>
      <c r="C798" s="22" t="str">
        <f>vlookup(B798,'재고 백업'!$A:$B,2,0)</f>
        <v>-</v>
      </c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  <c r="AP798" s="66"/>
      <c r="AQ798" s="66"/>
      <c r="AR798" s="66"/>
      <c r="AS798" s="66"/>
      <c r="AT798" s="66"/>
      <c r="AU798" s="66"/>
      <c r="AV798" s="66"/>
      <c r="AW798" s="66"/>
      <c r="AX798" s="66"/>
      <c r="AY798" s="66"/>
      <c r="AZ798" s="66"/>
      <c r="BA798" s="66"/>
      <c r="BB798" s="66"/>
      <c r="BC798" s="66"/>
      <c r="BD798" s="66"/>
      <c r="BE798" s="66"/>
      <c r="BF798" s="66"/>
      <c r="BG798" s="66"/>
      <c r="BH798" s="66"/>
      <c r="BI798" s="66"/>
      <c r="BJ798" s="66"/>
      <c r="BK798" s="66"/>
      <c r="BL798" s="66"/>
      <c r="BM798" s="66"/>
      <c r="BN798" s="66"/>
      <c r="BO798" s="66"/>
      <c r="BP798" s="66"/>
      <c r="BQ798" s="66"/>
      <c r="BR798" s="66"/>
      <c r="BS798" s="66"/>
      <c r="BT798" s="66"/>
      <c r="BU798" s="66"/>
      <c r="BV798" s="66"/>
      <c r="BW798" s="66"/>
    </row>
    <row r="799" ht="21.0" customHeight="1">
      <c r="A799" s="12"/>
      <c r="B799" s="32" t="s">
        <v>726</v>
      </c>
      <c r="C799" s="22">
        <f>vlookup(B799,'재고 백업'!$A:$B,2,0)</f>
        <v>12</v>
      </c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  <c r="AP799" s="66"/>
      <c r="AQ799" s="66"/>
      <c r="AR799" s="66"/>
      <c r="AS799" s="66"/>
      <c r="AT799" s="66"/>
      <c r="AU799" s="66"/>
      <c r="AV799" s="66"/>
      <c r="AW799" s="66"/>
      <c r="AX799" s="66"/>
      <c r="AY799" s="66"/>
      <c r="AZ799" s="66"/>
      <c r="BA799" s="66"/>
      <c r="BB799" s="66"/>
      <c r="BC799" s="66"/>
      <c r="BD799" s="66"/>
      <c r="BE799" s="66"/>
      <c r="BF799" s="66"/>
      <c r="BG799" s="66"/>
      <c r="BH799" s="66"/>
      <c r="BI799" s="66"/>
      <c r="BJ799" s="66"/>
      <c r="BK799" s="66"/>
      <c r="BL799" s="66"/>
      <c r="BM799" s="66"/>
      <c r="BN799" s="66"/>
      <c r="BO799" s="66"/>
      <c r="BP799" s="66"/>
      <c r="BQ799" s="66"/>
      <c r="BR799" s="66"/>
      <c r="BS799" s="66"/>
      <c r="BT799" s="66"/>
      <c r="BU799" s="66"/>
      <c r="BV799" s="66"/>
      <c r="BW799" s="66"/>
    </row>
    <row r="800" ht="21.0" customHeight="1">
      <c r="A800" s="12"/>
      <c r="B800" s="32" t="s">
        <v>727</v>
      </c>
      <c r="C800" s="22">
        <f>vlookup(B800,'재고 백업'!$A:$B,2,0)</f>
        <v>10</v>
      </c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  <c r="AP800" s="66"/>
      <c r="AQ800" s="66"/>
      <c r="AR800" s="66"/>
      <c r="AS800" s="66"/>
      <c r="AT800" s="66"/>
      <c r="AU800" s="66"/>
      <c r="AV800" s="66"/>
      <c r="AW800" s="66"/>
      <c r="AX800" s="66"/>
      <c r="AY800" s="66"/>
      <c r="AZ800" s="66"/>
      <c r="BA800" s="66"/>
      <c r="BB800" s="66"/>
      <c r="BC800" s="66"/>
      <c r="BD800" s="66"/>
      <c r="BE800" s="66"/>
      <c r="BF800" s="66"/>
      <c r="BG800" s="66"/>
      <c r="BH800" s="66"/>
      <c r="BI800" s="66"/>
      <c r="BJ800" s="66"/>
      <c r="BK800" s="66"/>
      <c r="BL800" s="66"/>
      <c r="BM800" s="66"/>
      <c r="BN800" s="66"/>
      <c r="BO800" s="66"/>
      <c r="BP800" s="66"/>
      <c r="BQ800" s="66"/>
      <c r="BR800" s="66"/>
      <c r="BS800" s="66"/>
      <c r="BT800" s="66"/>
      <c r="BU800" s="66"/>
      <c r="BV800" s="66"/>
      <c r="BW800" s="66"/>
    </row>
    <row r="801" ht="21.0" customHeight="1">
      <c r="A801" s="12"/>
      <c r="B801" s="32" t="s">
        <v>728</v>
      </c>
      <c r="C801" s="22">
        <f>vlookup(B801,'재고 백업'!$A:$B,2,0)</f>
        <v>36</v>
      </c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  <c r="AP801" s="66"/>
      <c r="AQ801" s="66"/>
      <c r="AR801" s="66"/>
      <c r="AS801" s="66"/>
      <c r="AT801" s="66"/>
      <c r="AU801" s="66"/>
      <c r="AV801" s="66"/>
      <c r="AW801" s="66"/>
      <c r="AX801" s="66"/>
      <c r="AY801" s="66"/>
      <c r="AZ801" s="66"/>
      <c r="BA801" s="66"/>
      <c r="BB801" s="66"/>
      <c r="BC801" s="66"/>
      <c r="BD801" s="66"/>
      <c r="BE801" s="66"/>
      <c r="BF801" s="66"/>
      <c r="BG801" s="66"/>
      <c r="BH801" s="66"/>
      <c r="BI801" s="66"/>
      <c r="BJ801" s="66"/>
      <c r="BK801" s="66"/>
      <c r="BL801" s="66"/>
      <c r="BM801" s="66"/>
      <c r="BN801" s="66"/>
      <c r="BO801" s="66"/>
      <c r="BP801" s="66"/>
      <c r="BQ801" s="66"/>
      <c r="BR801" s="66"/>
      <c r="BS801" s="66"/>
      <c r="BT801" s="66"/>
      <c r="BU801" s="66"/>
      <c r="BV801" s="66"/>
      <c r="BW801" s="66"/>
    </row>
    <row r="802" ht="21.0" customHeight="1">
      <c r="A802" s="12"/>
      <c r="B802" s="32" t="s">
        <v>729</v>
      </c>
      <c r="C802" s="22">
        <f>vlookup(B802,'재고 백업'!$A:$B,2,0)</f>
        <v>12</v>
      </c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  <c r="AP802" s="66"/>
      <c r="AQ802" s="66"/>
      <c r="AR802" s="66"/>
      <c r="AS802" s="66"/>
      <c r="AT802" s="66"/>
      <c r="AU802" s="66"/>
      <c r="AV802" s="66"/>
      <c r="AW802" s="66"/>
      <c r="AX802" s="66"/>
      <c r="AY802" s="66"/>
      <c r="AZ802" s="66"/>
      <c r="BA802" s="66"/>
      <c r="BB802" s="66"/>
      <c r="BC802" s="66"/>
      <c r="BD802" s="66"/>
      <c r="BE802" s="66"/>
      <c r="BF802" s="66"/>
      <c r="BG802" s="66"/>
      <c r="BH802" s="66"/>
      <c r="BI802" s="66"/>
      <c r="BJ802" s="66"/>
      <c r="BK802" s="66"/>
      <c r="BL802" s="66"/>
      <c r="BM802" s="66"/>
      <c r="BN802" s="66"/>
      <c r="BO802" s="66"/>
      <c r="BP802" s="66"/>
      <c r="BQ802" s="66"/>
      <c r="BR802" s="66"/>
      <c r="BS802" s="66"/>
      <c r="BT802" s="66"/>
      <c r="BU802" s="66"/>
      <c r="BV802" s="66"/>
      <c r="BW802" s="66"/>
    </row>
    <row r="803" ht="21.0" customHeight="1">
      <c r="A803" s="12"/>
      <c r="B803" s="32" t="s">
        <v>730</v>
      </c>
      <c r="C803" s="22">
        <f>vlookup(B803,'재고 백업'!$A:$B,2,0)</f>
        <v>13</v>
      </c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  <c r="AR803" s="66"/>
      <c r="AS803" s="66"/>
      <c r="AT803" s="66"/>
      <c r="AU803" s="66"/>
      <c r="AV803" s="66"/>
      <c r="AW803" s="66"/>
      <c r="AX803" s="66"/>
      <c r="AY803" s="66"/>
      <c r="AZ803" s="66"/>
      <c r="BA803" s="66"/>
      <c r="BB803" s="66"/>
      <c r="BC803" s="66"/>
      <c r="BD803" s="66"/>
      <c r="BE803" s="66"/>
      <c r="BF803" s="66"/>
      <c r="BG803" s="66"/>
      <c r="BH803" s="66"/>
      <c r="BI803" s="66"/>
      <c r="BJ803" s="66"/>
      <c r="BK803" s="66"/>
      <c r="BL803" s="66"/>
      <c r="BM803" s="66"/>
      <c r="BN803" s="66"/>
      <c r="BO803" s="66"/>
      <c r="BP803" s="66"/>
      <c r="BQ803" s="66"/>
      <c r="BR803" s="66"/>
      <c r="BS803" s="66"/>
      <c r="BT803" s="66"/>
      <c r="BU803" s="66"/>
      <c r="BV803" s="66"/>
      <c r="BW803" s="66"/>
    </row>
    <row r="804" ht="21.0" customHeight="1">
      <c r="A804" s="12"/>
      <c r="B804" s="30"/>
      <c r="C804" s="30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  <c r="AP804" s="66"/>
      <c r="AQ804" s="66"/>
      <c r="AR804" s="66"/>
      <c r="AS804" s="66"/>
      <c r="AT804" s="66"/>
      <c r="AU804" s="66"/>
      <c r="AV804" s="66"/>
      <c r="AW804" s="66"/>
      <c r="AX804" s="66"/>
      <c r="AY804" s="66"/>
      <c r="AZ804" s="66"/>
      <c r="BA804" s="66"/>
      <c r="BB804" s="66"/>
      <c r="BC804" s="66"/>
      <c r="BD804" s="66"/>
      <c r="BE804" s="66"/>
      <c r="BF804" s="66"/>
      <c r="BG804" s="66"/>
      <c r="BH804" s="66"/>
      <c r="BI804" s="66"/>
      <c r="BJ804" s="66"/>
      <c r="BK804" s="66"/>
      <c r="BL804" s="66"/>
      <c r="BM804" s="66"/>
      <c r="BN804" s="66"/>
      <c r="BO804" s="66"/>
      <c r="BP804" s="66"/>
      <c r="BQ804" s="66"/>
      <c r="BR804" s="66"/>
      <c r="BS804" s="66"/>
      <c r="BT804" s="66"/>
      <c r="BU804" s="66"/>
      <c r="BV804" s="66"/>
      <c r="BW804" s="66"/>
    </row>
    <row r="805" ht="21.0" customHeight="1">
      <c r="A805" s="12"/>
      <c r="B805" s="58" t="s">
        <v>731</v>
      </c>
      <c r="C805" s="58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  <c r="AP805" s="66"/>
      <c r="AQ805" s="66"/>
      <c r="AR805" s="66"/>
      <c r="AS805" s="66"/>
      <c r="AT805" s="66"/>
      <c r="AU805" s="66"/>
      <c r="AV805" s="66"/>
      <c r="AW805" s="66"/>
      <c r="AX805" s="66"/>
      <c r="AY805" s="66"/>
      <c r="AZ805" s="66"/>
      <c r="BA805" s="66"/>
      <c r="BB805" s="66"/>
      <c r="BC805" s="66"/>
      <c r="BD805" s="66"/>
      <c r="BE805" s="66"/>
      <c r="BF805" s="66"/>
      <c r="BG805" s="66"/>
      <c r="BH805" s="66"/>
      <c r="BI805" s="66"/>
      <c r="BJ805" s="66"/>
      <c r="BK805" s="66"/>
      <c r="BL805" s="66"/>
      <c r="BM805" s="66"/>
      <c r="BN805" s="66"/>
      <c r="BO805" s="66"/>
      <c r="BP805" s="66"/>
      <c r="BQ805" s="66"/>
      <c r="BR805" s="66"/>
      <c r="BS805" s="66"/>
      <c r="BT805" s="66"/>
      <c r="BU805" s="66"/>
      <c r="BV805" s="66"/>
      <c r="BW805" s="66"/>
    </row>
    <row r="806" ht="21.0" customHeight="1">
      <c r="A806" s="12"/>
      <c r="B806" s="32" t="s">
        <v>732</v>
      </c>
      <c r="C806" s="22">
        <f>vlookup(B806,'재고 백업'!$A:$B,2,0)</f>
        <v>119</v>
      </c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  <c r="AP806" s="66"/>
      <c r="AQ806" s="66"/>
      <c r="AR806" s="66"/>
      <c r="AS806" s="66"/>
      <c r="AT806" s="66"/>
      <c r="AU806" s="66"/>
      <c r="AV806" s="66"/>
      <c r="AW806" s="66"/>
      <c r="AX806" s="66"/>
      <c r="AY806" s="66"/>
      <c r="AZ806" s="66"/>
      <c r="BA806" s="66"/>
      <c r="BB806" s="66"/>
      <c r="BC806" s="66"/>
      <c r="BD806" s="66"/>
      <c r="BE806" s="66"/>
      <c r="BF806" s="66"/>
      <c r="BG806" s="66"/>
      <c r="BH806" s="66"/>
      <c r="BI806" s="66"/>
      <c r="BJ806" s="66"/>
      <c r="BK806" s="66"/>
      <c r="BL806" s="66"/>
      <c r="BM806" s="66"/>
      <c r="BN806" s="66"/>
      <c r="BO806" s="66"/>
      <c r="BP806" s="66"/>
      <c r="BQ806" s="66"/>
      <c r="BR806" s="66"/>
      <c r="BS806" s="66"/>
      <c r="BT806" s="66"/>
      <c r="BU806" s="66"/>
      <c r="BV806" s="66"/>
      <c r="BW806" s="66"/>
    </row>
    <row r="807" ht="21.0" customHeight="1">
      <c r="A807" s="12"/>
      <c r="B807" s="32" t="s">
        <v>733</v>
      </c>
      <c r="C807" s="22">
        <f>vlookup(B807,'재고 백업'!$A:$B,2,0)</f>
        <v>24</v>
      </c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  <c r="AP807" s="66"/>
      <c r="AQ807" s="66"/>
      <c r="AR807" s="66"/>
      <c r="AS807" s="66"/>
      <c r="AT807" s="66"/>
      <c r="AU807" s="66"/>
      <c r="AV807" s="66"/>
      <c r="AW807" s="66"/>
      <c r="AX807" s="66"/>
      <c r="AY807" s="66"/>
      <c r="AZ807" s="66"/>
      <c r="BA807" s="66"/>
      <c r="BB807" s="66"/>
      <c r="BC807" s="66"/>
      <c r="BD807" s="66"/>
      <c r="BE807" s="66"/>
      <c r="BF807" s="66"/>
      <c r="BG807" s="66"/>
      <c r="BH807" s="66"/>
      <c r="BI807" s="66"/>
      <c r="BJ807" s="66"/>
      <c r="BK807" s="66"/>
      <c r="BL807" s="66"/>
      <c r="BM807" s="66"/>
      <c r="BN807" s="66"/>
      <c r="BO807" s="66"/>
      <c r="BP807" s="66"/>
      <c r="BQ807" s="66"/>
      <c r="BR807" s="66"/>
      <c r="BS807" s="66"/>
      <c r="BT807" s="66"/>
      <c r="BU807" s="66"/>
      <c r="BV807" s="66"/>
      <c r="BW807" s="66"/>
    </row>
    <row r="808" ht="21.0" customHeight="1">
      <c r="A808" s="12"/>
      <c r="B808" s="32" t="s">
        <v>734</v>
      </c>
      <c r="C808" s="22">
        <f>vlookup(B808,'재고 백업'!$A:$B,2,0)</f>
        <v>73</v>
      </c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  <c r="AP808" s="66"/>
      <c r="AQ808" s="66"/>
      <c r="AR808" s="66"/>
      <c r="AS808" s="66"/>
      <c r="AT808" s="66"/>
      <c r="AU808" s="66"/>
      <c r="AV808" s="66"/>
      <c r="AW808" s="66"/>
      <c r="AX808" s="66"/>
      <c r="AY808" s="66"/>
      <c r="AZ808" s="66"/>
      <c r="BA808" s="66"/>
      <c r="BB808" s="66"/>
      <c r="BC808" s="66"/>
      <c r="BD808" s="66"/>
      <c r="BE808" s="66"/>
      <c r="BF808" s="66"/>
      <c r="BG808" s="66"/>
      <c r="BH808" s="66"/>
      <c r="BI808" s="66"/>
      <c r="BJ808" s="66"/>
      <c r="BK808" s="66"/>
      <c r="BL808" s="66"/>
      <c r="BM808" s="66"/>
      <c r="BN808" s="66"/>
      <c r="BO808" s="66"/>
      <c r="BP808" s="66"/>
      <c r="BQ808" s="66"/>
      <c r="BR808" s="66"/>
      <c r="BS808" s="66"/>
      <c r="BT808" s="66"/>
      <c r="BU808" s="66"/>
      <c r="BV808" s="66"/>
      <c r="BW808" s="66"/>
    </row>
    <row r="809" ht="21.0" customHeight="1">
      <c r="A809" s="12"/>
      <c r="B809" s="32" t="s">
        <v>735</v>
      </c>
      <c r="C809" s="22">
        <f>vlookup(B809,'재고 백업'!$A:$B,2,0)</f>
        <v>48</v>
      </c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  <c r="AP809" s="66"/>
      <c r="AQ809" s="66"/>
      <c r="AR809" s="66"/>
      <c r="AS809" s="66"/>
      <c r="AT809" s="66"/>
      <c r="AU809" s="66"/>
      <c r="AV809" s="66"/>
      <c r="AW809" s="66"/>
      <c r="AX809" s="66"/>
      <c r="AY809" s="66"/>
      <c r="AZ809" s="66"/>
      <c r="BA809" s="66"/>
      <c r="BB809" s="66"/>
      <c r="BC809" s="66"/>
      <c r="BD809" s="66"/>
      <c r="BE809" s="66"/>
      <c r="BF809" s="66"/>
      <c r="BG809" s="66"/>
      <c r="BH809" s="66"/>
      <c r="BI809" s="66"/>
      <c r="BJ809" s="66"/>
      <c r="BK809" s="66"/>
      <c r="BL809" s="66"/>
      <c r="BM809" s="66"/>
      <c r="BN809" s="66"/>
      <c r="BO809" s="66"/>
      <c r="BP809" s="66"/>
      <c r="BQ809" s="66"/>
      <c r="BR809" s="66"/>
      <c r="BS809" s="66"/>
      <c r="BT809" s="66"/>
      <c r="BU809" s="66"/>
      <c r="BV809" s="66"/>
      <c r="BW809" s="66"/>
    </row>
    <row r="810" ht="21.0" customHeight="1">
      <c r="A810" s="12"/>
      <c r="B810" s="32" t="s">
        <v>736</v>
      </c>
      <c r="C810" s="22">
        <f>vlookup(B810,'재고 백업'!$A:$B,2,0)</f>
        <v>86</v>
      </c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  <c r="AQ810" s="66"/>
      <c r="AR810" s="66"/>
      <c r="AS810" s="66"/>
      <c r="AT810" s="66"/>
      <c r="AU810" s="66"/>
      <c r="AV810" s="66"/>
      <c r="AW810" s="66"/>
      <c r="AX810" s="66"/>
      <c r="AY810" s="66"/>
      <c r="AZ810" s="66"/>
      <c r="BA810" s="66"/>
      <c r="BB810" s="66"/>
      <c r="BC810" s="66"/>
      <c r="BD810" s="66"/>
      <c r="BE810" s="66"/>
      <c r="BF810" s="66"/>
      <c r="BG810" s="66"/>
      <c r="BH810" s="66"/>
      <c r="BI810" s="66"/>
      <c r="BJ810" s="66"/>
      <c r="BK810" s="66"/>
      <c r="BL810" s="66"/>
      <c r="BM810" s="66"/>
      <c r="BN810" s="66"/>
      <c r="BO810" s="66"/>
      <c r="BP810" s="66"/>
      <c r="BQ810" s="66"/>
      <c r="BR810" s="66"/>
      <c r="BS810" s="66"/>
      <c r="BT810" s="66"/>
      <c r="BU810" s="66"/>
      <c r="BV810" s="66"/>
      <c r="BW810" s="66"/>
    </row>
    <row r="811" ht="21.0" customHeight="1">
      <c r="A811" s="12"/>
      <c r="B811" s="32" t="s">
        <v>737</v>
      </c>
      <c r="C811" s="22">
        <f>vlookup(B811,'재고 백업'!$A:$B,2,0)</f>
        <v>48</v>
      </c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  <c r="AQ811" s="66"/>
      <c r="AR811" s="66"/>
      <c r="AS811" s="66"/>
      <c r="AT811" s="66"/>
      <c r="AU811" s="66"/>
      <c r="AV811" s="66"/>
      <c r="AW811" s="66"/>
      <c r="AX811" s="66"/>
      <c r="AY811" s="66"/>
      <c r="AZ811" s="66"/>
      <c r="BA811" s="66"/>
      <c r="BB811" s="66"/>
      <c r="BC811" s="66"/>
      <c r="BD811" s="66"/>
      <c r="BE811" s="66"/>
      <c r="BF811" s="66"/>
      <c r="BG811" s="66"/>
      <c r="BH811" s="66"/>
      <c r="BI811" s="66"/>
      <c r="BJ811" s="66"/>
      <c r="BK811" s="66"/>
      <c r="BL811" s="66"/>
      <c r="BM811" s="66"/>
      <c r="BN811" s="66"/>
      <c r="BO811" s="66"/>
      <c r="BP811" s="66"/>
      <c r="BQ811" s="66"/>
      <c r="BR811" s="66"/>
      <c r="BS811" s="66"/>
      <c r="BT811" s="66"/>
      <c r="BU811" s="66"/>
      <c r="BV811" s="66"/>
      <c r="BW811" s="66"/>
    </row>
    <row r="812" ht="21.0" customHeight="1">
      <c r="A812" s="12"/>
      <c r="B812" s="32" t="s">
        <v>738</v>
      </c>
      <c r="C812" s="22">
        <f>vlookup(B812,'재고 백업'!$A:$B,2,0)</f>
        <v>16</v>
      </c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  <c r="AR812" s="66"/>
      <c r="AS812" s="66"/>
      <c r="AT812" s="66"/>
      <c r="AU812" s="66"/>
      <c r="AV812" s="66"/>
      <c r="AW812" s="66"/>
      <c r="AX812" s="66"/>
      <c r="AY812" s="66"/>
      <c r="AZ812" s="66"/>
      <c r="BA812" s="66"/>
      <c r="BB812" s="66"/>
      <c r="BC812" s="66"/>
      <c r="BD812" s="66"/>
      <c r="BE812" s="66"/>
      <c r="BF812" s="66"/>
      <c r="BG812" s="66"/>
      <c r="BH812" s="66"/>
      <c r="BI812" s="66"/>
      <c r="BJ812" s="66"/>
      <c r="BK812" s="66"/>
      <c r="BL812" s="66"/>
      <c r="BM812" s="66"/>
      <c r="BN812" s="66"/>
      <c r="BO812" s="66"/>
      <c r="BP812" s="66"/>
      <c r="BQ812" s="66"/>
      <c r="BR812" s="66"/>
      <c r="BS812" s="66"/>
      <c r="BT812" s="66"/>
      <c r="BU812" s="66"/>
      <c r="BV812" s="66"/>
      <c r="BW812" s="66"/>
    </row>
    <row r="813" ht="21.0" customHeight="1">
      <c r="A813" s="12"/>
      <c r="B813" s="32" t="s">
        <v>739</v>
      </c>
      <c r="C813" s="22">
        <f>vlookup(B813,'재고 백업'!$A:$B,2,0)</f>
        <v>48</v>
      </c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  <c r="AQ813" s="66"/>
      <c r="AR813" s="66"/>
      <c r="AS813" s="66"/>
      <c r="AT813" s="66"/>
      <c r="AU813" s="66"/>
      <c r="AV813" s="66"/>
      <c r="AW813" s="66"/>
      <c r="AX813" s="66"/>
      <c r="AY813" s="66"/>
      <c r="AZ813" s="66"/>
      <c r="BA813" s="66"/>
      <c r="BB813" s="66"/>
      <c r="BC813" s="66"/>
      <c r="BD813" s="66"/>
      <c r="BE813" s="66"/>
      <c r="BF813" s="66"/>
      <c r="BG813" s="66"/>
      <c r="BH813" s="66"/>
      <c r="BI813" s="66"/>
      <c r="BJ813" s="66"/>
      <c r="BK813" s="66"/>
      <c r="BL813" s="66"/>
      <c r="BM813" s="66"/>
      <c r="BN813" s="66"/>
      <c r="BO813" s="66"/>
      <c r="BP813" s="66"/>
      <c r="BQ813" s="66"/>
      <c r="BR813" s="66"/>
      <c r="BS813" s="66"/>
      <c r="BT813" s="66"/>
      <c r="BU813" s="66"/>
      <c r="BV813" s="66"/>
      <c r="BW813" s="66"/>
    </row>
    <row r="814" ht="21.0" customHeight="1">
      <c r="A814" s="12"/>
      <c r="B814" s="32" t="s">
        <v>740</v>
      </c>
      <c r="C814" s="22">
        <f>vlookup(B814,'재고 백업'!$A:$B,2,0)</f>
        <v>16</v>
      </c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6"/>
      <c r="AS814" s="66"/>
      <c r="AT814" s="66"/>
      <c r="AU814" s="66"/>
      <c r="AV814" s="66"/>
      <c r="AW814" s="66"/>
      <c r="AX814" s="66"/>
      <c r="AY814" s="66"/>
      <c r="AZ814" s="66"/>
      <c r="BA814" s="66"/>
      <c r="BB814" s="66"/>
      <c r="BC814" s="66"/>
      <c r="BD814" s="66"/>
      <c r="BE814" s="66"/>
      <c r="BF814" s="66"/>
      <c r="BG814" s="66"/>
      <c r="BH814" s="66"/>
      <c r="BI814" s="66"/>
      <c r="BJ814" s="66"/>
      <c r="BK814" s="66"/>
      <c r="BL814" s="66"/>
      <c r="BM814" s="66"/>
      <c r="BN814" s="66"/>
      <c r="BO814" s="66"/>
      <c r="BP814" s="66"/>
      <c r="BQ814" s="66"/>
      <c r="BR814" s="66"/>
      <c r="BS814" s="66"/>
      <c r="BT814" s="66"/>
      <c r="BU814" s="66"/>
      <c r="BV814" s="66"/>
      <c r="BW814" s="66"/>
    </row>
    <row r="815" ht="21.0" customHeight="1">
      <c r="A815" s="12"/>
      <c r="B815" s="32" t="s">
        <v>741</v>
      </c>
      <c r="C815" s="22">
        <f>vlookup(B815,'재고 백업'!$A:$B,2,0)</f>
        <v>116</v>
      </c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  <c r="AR815" s="66"/>
      <c r="AS815" s="66"/>
      <c r="AT815" s="66"/>
      <c r="AU815" s="66"/>
      <c r="AV815" s="66"/>
      <c r="AW815" s="66"/>
      <c r="AX815" s="66"/>
      <c r="AY815" s="66"/>
      <c r="AZ815" s="66"/>
      <c r="BA815" s="66"/>
      <c r="BB815" s="66"/>
      <c r="BC815" s="66"/>
      <c r="BD815" s="66"/>
      <c r="BE815" s="66"/>
      <c r="BF815" s="66"/>
      <c r="BG815" s="66"/>
      <c r="BH815" s="66"/>
      <c r="BI815" s="66"/>
      <c r="BJ815" s="66"/>
      <c r="BK815" s="66"/>
      <c r="BL815" s="66"/>
      <c r="BM815" s="66"/>
      <c r="BN815" s="66"/>
      <c r="BO815" s="66"/>
      <c r="BP815" s="66"/>
      <c r="BQ815" s="66"/>
      <c r="BR815" s="66"/>
      <c r="BS815" s="66"/>
      <c r="BT815" s="66"/>
      <c r="BU815" s="66"/>
      <c r="BV815" s="66"/>
      <c r="BW815" s="66"/>
    </row>
    <row r="816" ht="21.0" customHeight="1">
      <c r="A816" s="12"/>
      <c r="B816" s="32" t="s">
        <v>742</v>
      </c>
      <c r="C816" s="22">
        <f>vlookup(B816,'재고 백업'!$A:$B,2,0)</f>
        <v>39</v>
      </c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  <c r="AS816" s="66"/>
      <c r="AT816" s="66"/>
      <c r="AU816" s="66"/>
      <c r="AV816" s="66"/>
      <c r="AW816" s="66"/>
      <c r="AX816" s="66"/>
      <c r="AY816" s="66"/>
      <c r="AZ816" s="66"/>
      <c r="BA816" s="66"/>
      <c r="BB816" s="66"/>
      <c r="BC816" s="66"/>
      <c r="BD816" s="66"/>
      <c r="BE816" s="66"/>
      <c r="BF816" s="66"/>
      <c r="BG816" s="66"/>
      <c r="BH816" s="66"/>
      <c r="BI816" s="66"/>
      <c r="BJ816" s="66"/>
      <c r="BK816" s="66"/>
      <c r="BL816" s="66"/>
      <c r="BM816" s="66"/>
      <c r="BN816" s="66"/>
      <c r="BO816" s="66"/>
      <c r="BP816" s="66"/>
      <c r="BQ816" s="66"/>
      <c r="BR816" s="66"/>
      <c r="BS816" s="66"/>
      <c r="BT816" s="66"/>
      <c r="BU816" s="66"/>
      <c r="BV816" s="66"/>
      <c r="BW816" s="66"/>
    </row>
    <row r="817" ht="21.0" customHeight="1">
      <c r="A817" s="12"/>
      <c r="B817" s="32" t="s">
        <v>743</v>
      </c>
      <c r="C817" s="22" t="str">
        <f>vlookup(B817,'재고 백업'!$A:$B,2,0)</f>
        <v>-</v>
      </c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6"/>
      <c r="AS817" s="66"/>
      <c r="AT817" s="66"/>
      <c r="AU817" s="66"/>
      <c r="AV817" s="66"/>
      <c r="AW817" s="66"/>
      <c r="AX817" s="66"/>
      <c r="AY817" s="66"/>
      <c r="AZ817" s="66"/>
      <c r="BA817" s="66"/>
      <c r="BB817" s="66"/>
      <c r="BC817" s="66"/>
      <c r="BD817" s="66"/>
      <c r="BE817" s="66"/>
      <c r="BF817" s="66"/>
      <c r="BG817" s="66"/>
      <c r="BH817" s="66"/>
      <c r="BI817" s="66"/>
      <c r="BJ817" s="66"/>
      <c r="BK817" s="66"/>
      <c r="BL817" s="66"/>
      <c r="BM817" s="66"/>
      <c r="BN817" s="66"/>
      <c r="BO817" s="66"/>
      <c r="BP817" s="66"/>
      <c r="BQ817" s="66"/>
      <c r="BR817" s="66"/>
      <c r="BS817" s="66"/>
      <c r="BT817" s="66"/>
      <c r="BU817" s="66"/>
      <c r="BV817" s="66"/>
      <c r="BW817" s="66"/>
    </row>
    <row r="818" ht="21.0" customHeight="1">
      <c r="A818" s="12"/>
      <c r="B818" s="32" t="s">
        <v>744</v>
      </c>
      <c r="C818" s="22">
        <f>vlookup(B818,'재고 백업'!$A:$B,2,0)</f>
        <v>30</v>
      </c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6"/>
      <c r="AS818" s="66"/>
      <c r="AT818" s="66"/>
      <c r="AU818" s="66"/>
      <c r="AV818" s="66"/>
      <c r="AW818" s="66"/>
      <c r="AX818" s="66"/>
      <c r="AY818" s="66"/>
      <c r="AZ818" s="66"/>
      <c r="BA818" s="66"/>
      <c r="BB818" s="66"/>
      <c r="BC818" s="66"/>
      <c r="BD818" s="66"/>
      <c r="BE818" s="66"/>
      <c r="BF818" s="66"/>
      <c r="BG818" s="66"/>
      <c r="BH818" s="66"/>
      <c r="BI818" s="66"/>
      <c r="BJ818" s="66"/>
      <c r="BK818" s="66"/>
      <c r="BL818" s="66"/>
      <c r="BM818" s="66"/>
      <c r="BN818" s="66"/>
      <c r="BO818" s="66"/>
      <c r="BP818" s="66"/>
      <c r="BQ818" s="66"/>
      <c r="BR818" s="66"/>
      <c r="BS818" s="66"/>
      <c r="BT818" s="66"/>
      <c r="BU818" s="66"/>
      <c r="BV818" s="66"/>
      <c r="BW818" s="66"/>
    </row>
    <row r="819" ht="21.0" customHeight="1">
      <c r="A819" s="12"/>
      <c r="B819" s="32" t="s">
        <v>745</v>
      </c>
      <c r="C819" s="22">
        <f>vlookup(B819,'재고 백업'!$A:$B,2,0)</f>
        <v>1</v>
      </c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66"/>
      <c r="AR819" s="66"/>
      <c r="AS819" s="66"/>
      <c r="AT819" s="66"/>
      <c r="AU819" s="66"/>
      <c r="AV819" s="66"/>
      <c r="AW819" s="66"/>
      <c r="AX819" s="66"/>
      <c r="AY819" s="66"/>
      <c r="AZ819" s="66"/>
      <c r="BA819" s="66"/>
      <c r="BB819" s="66"/>
      <c r="BC819" s="66"/>
      <c r="BD819" s="66"/>
      <c r="BE819" s="66"/>
      <c r="BF819" s="66"/>
      <c r="BG819" s="66"/>
      <c r="BH819" s="66"/>
      <c r="BI819" s="66"/>
      <c r="BJ819" s="66"/>
      <c r="BK819" s="66"/>
      <c r="BL819" s="66"/>
      <c r="BM819" s="66"/>
      <c r="BN819" s="66"/>
      <c r="BO819" s="66"/>
      <c r="BP819" s="66"/>
      <c r="BQ819" s="66"/>
      <c r="BR819" s="66"/>
      <c r="BS819" s="66"/>
      <c r="BT819" s="66"/>
      <c r="BU819" s="66"/>
      <c r="BV819" s="66"/>
      <c r="BW819" s="66"/>
    </row>
    <row r="820" ht="21.0" customHeight="1">
      <c r="A820" s="12"/>
      <c r="B820" s="32" t="s">
        <v>746</v>
      </c>
      <c r="C820" s="22">
        <f>vlookup(B820,'재고 백업'!$A:$B,2,0)</f>
        <v>29</v>
      </c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6"/>
      <c r="AS820" s="66"/>
      <c r="AT820" s="66"/>
      <c r="AU820" s="66"/>
      <c r="AV820" s="66"/>
      <c r="AW820" s="66"/>
      <c r="AX820" s="66"/>
      <c r="AY820" s="66"/>
      <c r="AZ820" s="66"/>
      <c r="BA820" s="66"/>
      <c r="BB820" s="66"/>
      <c r="BC820" s="66"/>
      <c r="BD820" s="66"/>
      <c r="BE820" s="66"/>
      <c r="BF820" s="66"/>
      <c r="BG820" s="66"/>
      <c r="BH820" s="66"/>
      <c r="BI820" s="66"/>
      <c r="BJ820" s="66"/>
      <c r="BK820" s="66"/>
      <c r="BL820" s="66"/>
      <c r="BM820" s="66"/>
      <c r="BN820" s="66"/>
      <c r="BO820" s="66"/>
      <c r="BP820" s="66"/>
      <c r="BQ820" s="66"/>
      <c r="BR820" s="66"/>
      <c r="BS820" s="66"/>
      <c r="BT820" s="66"/>
      <c r="BU820" s="66"/>
      <c r="BV820" s="66"/>
      <c r="BW820" s="66"/>
    </row>
    <row r="821" ht="21.0" customHeight="1">
      <c r="A821" s="12"/>
      <c r="B821" s="32" t="s">
        <v>747</v>
      </c>
      <c r="C821" s="22">
        <f>vlookup(B821,'재고 백업'!$A:$B,2,0)</f>
        <v>16</v>
      </c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  <c r="AR821" s="66"/>
      <c r="AS821" s="66"/>
      <c r="AT821" s="66"/>
      <c r="AU821" s="66"/>
      <c r="AV821" s="66"/>
      <c r="AW821" s="66"/>
      <c r="AX821" s="66"/>
      <c r="AY821" s="66"/>
      <c r="AZ821" s="66"/>
      <c r="BA821" s="66"/>
      <c r="BB821" s="66"/>
      <c r="BC821" s="66"/>
      <c r="BD821" s="66"/>
      <c r="BE821" s="66"/>
      <c r="BF821" s="66"/>
      <c r="BG821" s="66"/>
      <c r="BH821" s="66"/>
      <c r="BI821" s="66"/>
      <c r="BJ821" s="66"/>
      <c r="BK821" s="66"/>
      <c r="BL821" s="66"/>
      <c r="BM821" s="66"/>
      <c r="BN821" s="66"/>
      <c r="BO821" s="66"/>
      <c r="BP821" s="66"/>
      <c r="BQ821" s="66"/>
      <c r="BR821" s="66"/>
      <c r="BS821" s="66"/>
      <c r="BT821" s="66"/>
      <c r="BU821" s="66"/>
      <c r="BV821" s="66"/>
      <c r="BW821" s="66"/>
    </row>
    <row r="822" ht="21.0" customHeight="1">
      <c r="A822" s="12"/>
      <c r="B822" s="32" t="s">
        <v>748</v>
      </c>
      <c r="C822" s="22" t="str">
        <f>vlookup(B822,'재고 백업'!$A:$B,2,0)</f>
        <v>-</v>
      </c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  <c r="AR822" s="66"/>
      <c r="AS822" s="66"/>
      <c r="AT822" s="66"/>
      <c r="AU822" s="66"/>
      <c r="AV822" s="66"/>
      <c r="AW822" s="66"/>
      <c r="AX822" s="66"/>
      <c r="AY822" s="66"/>
      <c r="AZ822" s="66"/>
      <c r="BA822" s="66"/>
      <c r="BB822" s="66"/>
      <c r="BC822" s="66"/>
      <c r="BD822" s="66"/>
      <c r="BE822" s="66"/>
      <c r="BF822" s="66"/>
      <c r="BG822" s="66"/>
      <c r="BH822" s="66"/>
      <c r="BI822" s="66"/>
      <c r="BJ822" s="66"/>
      <c r="BK822" s="66"/>
      <c r="BL822" s="66"/>
      <c r="BM822" s="66"/>
      <c r="BN822" s="66"/>
      <c r="BO822" s="66"/>
      <c r="BP822" s="66"/>
      <c r="BQ822" s="66"/>
      <c r="BR822" s="66"/>
      <c r="BS822" s="66"/>
      <c r="BT822" s="66"/>
      <c r="BU822" s="66"/>
      <c r="BV822" s="66"/>
      <c r="BW822" s="66"/>
    </row>
    <row r="823" ht="21.0" customHeight="1">
      <c r="A823" s="12"/>
      <c r="B823" s="32" t="s">
        <v>749</v>
      </c>
      <c r="C823" s="22">
        <f>vlookup(B823,'재고 백업'!$A:$B,2,0)</f>
        <v>32</v>
      </c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6"/>
      <c r="AS823" s="66"/>
      <c r="AT823" s="66"/>
      <c r="AU823" s="66"/>
      <c r="AV823" s="66"/>
      <c r="AW823" s="66"/>
      <c r="AX823" s="66"/>
      <c r="AY823" s="66"/>
      <c r="AZ823" s="66"/>
      <c r="BA823" s="66"/>
      <c r="BB823" s="66"/>
      <c r="BC823" s="66"/>
      <c r="BD823" s="66"/>
      <c r="BE823" s="66"/>
      <c r="BF823" s="66"/>
      <c r="BG823" s="66"/>
      <c r="BH823" s="66"/>
      <c r="BI823" s="66"/>
      <c r="BJ823" s="66"/>
      <c r="BK823" s="66"/>
      <c r="BL823" s="66"/>
      <c r="BM823" s="66"/>
      <c r="BN823" s="66"/>
      <c r="BO823" s="66"/>
      <c r="BP823" s="66"/>
      <c r="BQ823" s="66"/>
      <c r="BR823" s="66"/>
      <c r="BS823" s="66"/>
      <c r="BT823" s="66"/>
      <c r="BU823" s="66"/>
      <c r="BV823" s="66"/>
      <c r="BW823" s="66"/>
    </row>
    <row r="824" ht="21.0" customHeight="1">
      <c r="A824" s="12"/>
      <c r="B824" s="32" t="s">
        <v>750</v>
      </c>
      <c r="C824" s="22">
        <f>vlookup(B824,'재고 백업'!$A:$B,2,0)</f>
        <v>16</v>
      </c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  <c r="AR824" s="66"/>
      <c r="AS824" s="66"/>
      <c r="AT824" s="66"/>
      <c r="AU824" s="66"/>
      <c r="AV824" s="66"/>
      <c r="AW824" s="66"/>
      <c r="AX824" s="66"/>
      <c r="AY824" s="66"/>
      <c r="AZ824" s="66"/>
      <c r="BA824" s="66"/>
      <c r="BB824" s="66"/>
      <c r="BC824" s="66"/>
      <c r="BD824" s="66"/>
      <c r="BE824" s="66"/>
      <c r="BF824" s="66"/>
      <c r="BG824" s="66"/>
      <c r="BH824" s="66"/>
      <c r="BI824" s="66"/>
      <c r="BJ824" s="66"/>
      <c r="BK824" s="66"/>
      <c r="BL824" s="66"/>
      <c r="BM824" s="66"/>
      <c r="BN824" s="66"/>
      <c r="BO824" s="66"/>
      <c r="BP824" s="66"/>
      <c r="BQ824" s="66"/>
      <c r="BR824" s="66"/>
      <c r="BS824" s="66"/>
      <c r="BT824" s="66"/>
      <c r="BU824" s="66"/>
      <c r="BV824" s="66"/>
      <c r="BW824" s="66"/>
    </row>
    <row r="825" ht="21.0" customHeight="1">
      <c r="A825" s="12"/>
      <c r="B825" s="32" t="s">
        <v>751</v>
      </c>
      <c r="C825" s="22">
        <f>vlookup(B825,'재고 백업'!$A:$B,2,0)</f>
        <v>69</v>
      </c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  <c r="AQ825" s="66"/>
      <c r="AR825" s="66"/>
      <c r="AS825" s="66"/>
      <c r="AT825" s="66"/>
      <c r="AU825" s="66"/>
      <c r="AV825" s="66"/>
      <c r="AW825" s="66"/>
      <c r="AX825" s="66"/>
      <c r="AY825" s="66"/>
      <c r="AZ825" s="66"/>
      <c r="BA825" s="66"/>
      <c r="BB825" s="66"/>
      <c r="BC825" s="66"/>
      <c r="BD825" s="66"/>
      <c r="BE825" s="66"/>
      <c r="BF825" s="66"/>
      <c r="BG825" s="66"/>
      <c r="BH825" s="66"/>
      <c r="BI825" s="66"/>
      <c r="BJ825" s="66"/>
      <c r="BK825" s="66"/>
      <c r="BL825" s="66"/>
      <c r="BM825" s="66"/>
      <c r="BN825" s="66"/>
      <c r="BO825" s="66"/>
      <c r="BP825" s="66"/>
      <c r="BQ825" s="66"/>
      <c r="BR825" s="66"/>
      <c r="BS825" s="66"/>
      <c r="BT825" s="66"/>
      <c r="BU825" s="66"/>
      <c r="BV825" s="66"/>
      <c r="BW825" s="66"/>
    </row>
    <row r="826" ht="21.0" customHeight="1">
      <c r="A826" s="12"/>
      <c r="B826" s="32" t="s">
        <v>752</v>
      </c>
      <c r="C826" s="22">
        <f>vlookup(B826,'재고 백업'!$A:$B,2,0)</f>
        <v>18</v>
      </c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  <c r="AQ826" s="66"/>
      <c r="AR826" s="66"/>
      <c r="AS826" s="66"/>
      <c r="AT826" s="66"/>
      <c r="AU826" s="66"/>
      <c r="AV826" s="66"/>
      <c r="AW826" s="66"/>
      <c r="AX826" s="66"/>
      <c r="AY826" s="66"/>
      <c r="AZ826" s="66"/>
      <c r="BA826" s="66"/>
      <c r="BB826" s="66"/>
      <c r="BC826" s="66"/>
      <c r="BD826" s="66"/>
      <c r="BE826" s="66"/>
      <c r="BF826" s="66"/>
      <c r="BG826" s="66"/>
      <c r="BH826" s="66"/>
      <c r="BI826" s="66"/>
      <c r="BJ826" s="66"/>
      <c r="BK826" s="66"/>
      <c r="BL826" s="66"/>
      <c r="BM826" s="66"/>
      <c r="BN826" s="66"/>
      <c r="BO826" s="66"/>
      <c r="BP826" s="66"/>
      <c r="BQ826" s="66"/>
      <c r="BR826" s="66"/>
      <c r="BS826" s="66"/>
      <c r="BT826" s="66"/>
      <c r="BU826" s="66"/>
      <c r="BV826" s="66"/>
      <c r="BW826" s="66"/>
    </row>
    <row r="827" ht="21.0" customHeight="1">
      <c r="A827" s="12"/>
      <c r="B827" s="32" t="s">
        <v>753</v>
      </c>
      <c r="C827" s="22">
        <f>vlookup(B827,'재고 백업'!$A:$B,2,0)</f>
        <v>45</v>
      </c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  <c r="AR827" s="66"/>
      <c r="AS827" s="66"/>
      <c r="AT827" s="66"/>
      <c r="AU827" s="66"/>
      <c r="AV827" s="66"/>
      <c r="AW827" s="66"/>
      <c r="AX827" s="66"/>
      <c r="AY827" s="66"/>
      <c r="AZ827" s="66"/>
      <c r="BA827" s="66"/>
      <c r="BB827" s="66"/>
      <c r="BC827" s="66"/>
      <c r="BD827" s="66"/>
      <c r="BE827" s="66"/>
      <c r="BF827" s="66"/>
      <c r="BG827" s="66"/>
      <c r="BH827" s="66"/>
      <c r="BI827" s="66"/>
      <c r="BJ827" s="66"/>
      <c r="BK827" s="66"/>
      <c r="BL827" s="66"/>
      <c r="BM827" s="66"/>
      <c r="BN827" s="66"/>
      <c r="BO827" s="66"/>
      <c r="BP827" s="66"/>
      <c r="BQ827" s="66"/>
      <c r="BR827" s="66"/>
      <c r="BS827" s="66"/>
      <c r="BT827" s="66"/>
      <c r="BU827" s="66"/>
      <c r="BV827" s="66"/>
      <c r="BW827" s="66"/>
    </row>
    <row r="828" ht="21.0" customHeight="1">
      <c r="A828" s="36"/>
      <c r="B828" s="24"/>
      <c r="C828" s="24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  <c r="AV828" s="68"/>
      <c r="AW828" s="68"/>
      <c r="AX828" s="68"/>
      <c r="AY828" s="68"/>
      <c r="AZ828" s="68"/>
      <c r="BA828" s="68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8"/>
      <c r="BU828" s="68"/>
      <c r="BV828" s="68"/>
      <c r="BW828" s="68"/>
    </row>
    <row r="829" ht="21.0" customHeight="1">
      <c r="A829" s="36"/>
      <c r="B829" s="69" t="s">
        <v>754</v>
      </c>
      <c r="C829" s="69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  <c r="AV829" s="68"/>
      <c r="AW829" s="68"/>
      <c r="AX829" s="68"/>
      <c r="AY829" s="68"/>
      <c r="AZ829" s="68"/>
      <c r="BA829" s="68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8"/>
      <c r="BU829" s="68"/>
      <c r="BV829" s="68"/>
      <c r="BW829" s="68"/>
    </row>
    <row r="830" ht="21.0" customHeight="1">
      <c r="A830" s="36"/>
      <c r="B830" s="70" t="s">
        <v>755</v>
      </c>
      <c r="C830" s="71">
        <f>vlookup(B830,'재고 백업'!$A:$B,2,0)</f>
        <v>24</v>
      </c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  <c r="AV830" s="68"/>
      <c r="AW830" s="68"/>
      <c r="AX830" s="68"/>
      <c r="AY830" s="68"/>
      <c r="AZ830" s="68"/>
      <c r="BA830" s="68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8"/>
      <c r="BU830" s="68"/>
      <c r="BV830" s="68"/>
      <c r="BW830" s="68"/>
    </row>
    <row r="831" ht="21.0" customHeight="1">
      <c r="A831" s="36"/>
      <c r="B831" s="70" t="s">
        <v>756</v>
      </c>
      <c r="C831" s="71">
        <f>vlookup(B831,'재고 백업'!$A:$B,2,0)</f>
        <v>24</v>
      </c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  <c r="AV831" s="68"/>
      <c r="AW831" s="68"/>
      <c r="AX831" s="68"/>
      <c r="AY831" s="68"/>
      <c r="AZ831" s="68"/>
      <c r="BA831" s="68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8"/>
      <c r="BU831" s="68"/>
      <c r="BV831" s="68"/>
      <c r="BW831" s="68"/>
    </row>
    <row r="832" ht="21.0" customHeight="1">
      <c r="A832" s="36"/>
      <c r="B832" s="70" t="s">
        <v>757</v>
      </c>
      <c r="C832" s="71">
        <f>vlookup(B832,'재고 백업'!$A:$B,2,0)</f>
        <v>24</v>
      </c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  <c r="AV832" s="68"/>
      <c r="AW832" s="68"/>
      <c r="AX832" s="68"/>
      <c r="AY832" s="68"/>
      <c r="AZ832" s="68"/>
      <c r="BA832" s="68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8"/>
      <c r="BU832" s="68"/>
      <c r="BV832" s="68"/>
      <c r="BW832" s="68"/>
    </row>
    <row r="833" ht="21.0" customHeight="1">
      <c r="A833" s="36"/>
      <c r="B833" s="70" t="s">
        <v>758</v>
      </c>
      <c r="C833" s="71">
        <f>vlookup(B833,'재고 백업'!$A:$B,2,0)</f>
        <v>24</v>
      </c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  <c r="AV833" s="68"/>
      <c r="AW833" s="68"/>
      <c r="AX833" s="68"/>
      <c r="AY833" s="68"/>
      <c r="AZ833" s="68"/>
      <c r="BA833" s="68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8"/>
      <c r="BU833" s="68"/>
      <c r="BV833" s="68"/>
      <c r="BW833" s="68"/>
    </row>
    <row r="834" ht="21.0" customHeight="1">
      <c r="A834" s="36"/>
      <c r="B834" s="70" t="s">
        <v>759</v>
      </c>
      <c r="C834" s="71">
        <f>vlookup(B834,'재고 백업'!$A:$B,2,0)</f>
        <v>16</v>
      </c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  <c r="AV834" s="68"/>
      <c r="AW834" s="68"/>
      <c r="AX834" s="68"/>
      <c r="AY834" s="68"/>
      <c r="AZ834" s="68"/>
      <c r="BA834" s="68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8"/>
      <c r="BU834" s="68"/>
      <c r="BV834" s="68"/>
      <c r="BW834" s="68"/>
    </row>
    <row r="835" ht="21.0" customHeight="1">
      <c r="A835" s="36"/>
      <c r="B835" s="70" t="s">
        <v>760</v>
      </c>
      <c r="C835" s="71">
        <f>vlookup(B835,'재고 백업'!$A:$B,2,0)</f>
        <v>3</v>
      </c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  <c r="AV835" s="68"/>
      <c r="AW835" s="68"/>
      <c r="AX835" s="68"/>
      <c r="AY835" s="68"/>
      <c r="AZ835" s="68"/>
      <c r="BA835" s="68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8"/>
      <c r="BU835" s="68"/>
      <c r="BV835" s="68"/>
      <c r="BW835" s="68"/>
    </row>
    <row r="836" ht="21.0" customHeight="1">
      <c r="A836" s="36"/>
      <c r="B836" s="70" t="s">
        <v>761</v>
      </c>
      <c r="C836" s="71">
        <f>vlookup(B836,'재고 백업'!$A:$B,2,0)</f>
        <v>16</v>
      </c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  <c r="AV836" s="68"/>
      <c r="AW836" s="68"/>
      <c r="AX836" s="68"/>
      <c r="AY836" s="68"/>
      <c r="AZ836" s="68"/>
      <c r="BA836" s="68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8"/>
      <c r="BU836" s="68"/>
      <c r="BV836" s="68"/>
      <c r="BW836" s="68"/>
    </row>
    <row r="837" ht="21.0" customHeight="1">
      <c r="A837" s="36"/>
      <c r="B837" s="70" t="s">
        <v>762</v>
      </c>
      <c r="C837" s="71">
        <f>vlookup(B837,'재고 백업'!$A:$B,2,0)</f>
        <v>16</v>
      </c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  <c r="AV837" s="68"/>
      <c r="AW837" s="68"/>
      <c r="AX837" s="68"/>
      <c r="AY837" s="68"/>
      <c r="AZ837" s="68"/>
      <c r="BA837" s="68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8"/>
      <c r="BU837" s="68"/>
      <c r="BV837" s="68"/>
      <c r="BW837" s="68"/>
    </row>
    <row r="838" ht="21.0" customHeight="1">
      <c r="A838" s="36"/>
      <c r="B838" s="70" t="s">
        <v>763</v>
      </c>
      <c r="C838" s="71">
        <f>vlookup(B838,'재고 백업'!$A:$B,2,0)</f>
        <v>8</v>
      </c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  <c r="AV838" s="68"/>
      <c r="AW838" s="68"/>
      <c r="AX838" s="68"/>
      <c r="AY838" s="68"/>
      <c r="AZ838" s="68"/>
      <c r="BA838" s="68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8"/>
      <c r="BU838" s="68"/>
      <c r="BV838" s="68"/>
      <c r="BW838" s="68"/>
    </row>
    <row r="839" ht="21.0" customHeight="1">
      <c r="A839" s="36"/>
      <c r="B839" s="70" t="s">
        <v>764</v>
      </c>
      <c r="C839" s="71">
        <f>vlookup(B839,'재고 백업'!$A:$B,2,0)</f>
        <v>6</v>
      </c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8"/>
      <c r="BU839" s="68"/>
      <c r="BV839" s="68"/>
      <c r="BW839" s="68"/>
    </row>
    <row r="840" ht="21.0" customHeight="1">
      <c r="A840" s="36"/>
      <c r="B840" s="70" t="s">
        <v>765</v>
      </c>
      <c r="C840" s="71">
        <f>vlookup(B840,'재고 백업'!$A:$B,2,0)</f>
        <v>9</v>
      </c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  <c r="AV840" s="68"/>
      <c r="AW840" s="68"/>
      <c r="AX840" s="68"/>
      <c r="AY840" s="68"/>
      <c r="AZ840" s="68"/>
      <c r="BA840" s="68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8"/>
      <c r="BU840" s="68"/>
      <c r="BV840" s="68"/>
      <c r="BW840" s="68"/>
    </row>
    <row r="841" ht="21.0" customHeight="1">
      <c r="A841" s="36"/>
      <c r="B841" s="24"/>
      <c r="C841" s="24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  <c r="AV841" s="68"/>
      <c r="AW841" s="68"/>
      <c r="AX841" s="68"/>
      <c r="AY841" s="68"/>
      <c r="AZ841" s="68"/>
      <c r="BA841" s="68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8"/>
      <c r="BU841" s="68"/>
      <c r="BV841" s="68"/>
      <c r="BW841" s="68"/>
    </row>
    <row r="842" ht="21.0" customHeight="1">
      <c r="A842" s="36"/>
      <c r="B842" s="24"/>
      <c r="C842" s="24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  <c r="AV842" s="68"/>
      <c r="AW842" s="68"/>
      <c r="AX842" s="68"/>
      <c r="AY842" s="68"/>
      <c r="AZ842" s="68"/>
      <c r="BA842" s="68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8"/>
      <c r="BU842" s="68"/>
      <c r="BV842" s="68"/>
      <c r="BW842" s="68"/>
    </row>
    <row r="843" ht="21.0" customHeight="1">
      <c r="A843" s="12"/>
      <c r="B843" s="72" t="s">
        <v>766</v>
      </c>
      <c r="C843" s="72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  <c r="AP843" s="66"/>
      <c r="AQ843" s="66"/>
      <c r="AR843" s="66"/>
      <c r="AS843" s="66"/>
      <c r="AT843" s="66"/>
      <c r="AU843" s="66"/>
      <c r="AV843" s="66"/>
      <c r="AW843" s="66"/>
      <c r="AX843" s="66"/>
      <c r="AY843" s="66"/>
      <c r="AZ843" s="66"/>
      <c r="BA843" s="66"/>
      <c r="BB843" s="66"/>
      <c r="BC843" s="66"/>
      <c r="BD843" s="66"/>
      <c r="BE843" s="66"/>
      <c r="BF843" s="66"/>
      <c r="BG843" s="66"/>
      <c r="BH843" s="66"/>
      <c r="BI843" s="66"/>
      <c r="BJ843" s="66"/>
      <c r="BK843" s="66"/>
      <c r="BL843" s="66"/>
      <c r="BM843" s="66"/>
      <c r="BN843" s="66"/>
      <c r="BO843" s="66"/>
      <c r="BP843" s="66"/>
      <c r="BQ843" s="66"/>
      <c r="BR843" s="66"/>
      <c r="BS843" s="66"/>
      <c r="BT843" s="66"/>
      <c r="BU843" s="66"/>
      <c r="BV843" s="66"/>
      <c r="BW843" s="66"/>
    </row>
    <row r="844" ht="21.0" customHeight="1">
      <c r="A844" s="12"/>
      <c r="B844" s="21" t="s">
        <v>767</v>
      </c>
      <c r="C844" s="21">
        <f>vlookup(B844,'재고 백업'!$A:$B,2,0)</f>
        <v>9999</v>
      </c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  <c r="AP844" s="66"/>
      <c r="AQ844" s="66"/>
      <c r="AR844" s="66"/>
      <c r="AS844" s="66"/>
      <c r="AT844" s="66"/>
      <c r="AU844" s="66"/>
      <c r="AV844" s="66"/>
      <c r="AW844" s="66"/>
      <c r="AX844" s="66"/>
      <c r="AY844" s="66"/>
      <c r="AZ844" s="66"/>
      <c r="BA844" s="66"/>
      <c r="BB844" s="66"/>
      <c r="BC844" s="66"/>
      <c r="BD844" s="66"/>
      <c r="BE844" s="66"/>
      <c r="BF844" s="66"/>
      <c r="BG844" s="66"/>
      <c r="BH844" s="66"/>
      <c r="BI844" s="66"/>
      <c r="BJ844" s="66"/>
      <c r="BK844" s="66"/>
      <c r="BL844" s="66"/>
      <c r="BM844" s="66"/>
      <c r="BN844" s="66"/>
      <c r="BO844" s="66"/>
      <c r="BP844" s="66"/>
      <c r="BQ844" s="66"/>
      <c r="BR844" s="66"/>
      <c r="BS844" s="66"/>
      <c r="BT844" s="66"/>
      <c r="BU844" s="66"/>
      <c r="BV844" s="66"/>
      <c r="BW844" s="66"/>
    </row>
    <row r="845" ht="21.0" customHeight="1">
      <c r="A845" s="12"/>
      <c r="B845" s="21" t="s">
        <v>768</v>
      </c>
      <c r="C845" s="21">
        <f>vlookup(B845,'재고 백업'!$A:$B,2,0)</f>
        <v>9999</v>
      </c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  <c r="AP845" s="66"/>
      <c r="AQ845" s="66"/>
      <c r="AR845" s="66"/>
      <c r="AS845" s="66"/>
      <c r="AT845" s="66"/>
      <c r="AU845" s="66"/>
      <c r="AV845" s="66"/>
      <c r="AW845" s="66"/>
      <c r="AX845" s="66"/>
      <c r="AY845" s="66"/>
      <c r="AZ845" s="66"/>
      <c r="BA845" s="66"/>
      <c r="BB845" s="66"/>
      <c r="BC845" s="66"/>
      <c r="BD845" s="66"/>
      <c r="BE845" s="66"/>
      <c r="BF845" s="66"/>
      <c r="BG845" s="66"/>
      <c r="BH845" s="66"/>
      <c r="BI845" s="66"/>
      <c r="BJ845" s="66"/>
      <c r="BK845" s="66"/>
      <c r="BL845" s="66"/>
      <c r="BM845" s="66"/>
      <c r="BN845" s="66"/>
      <c r="BO845" s="66"/>
      <c r="BP845" s="66"/>
      <c r="BQ845" s="66"/>
      <c r="BR845" s="66"/>
      <c r="BS845" s="66"/>
      <c r="BT845" s="66"/>
      <c r="BU845" s="66"/>
      <c r="BV845" s="66"/>
      <c r="BW845" s="66"/>
    </row>
    <row r="846" ht="21.0" customHeight="1">
      <c r="A846" s="12"/>
      <c r="B846" s="21" t="s">
        <v>769</v>
      </c>
      <c r="C846" s="21">
        <f>vlookup(B846,'재고 백업'!$A:$B,2,0)</f>
        <v>9999</v>
      </c>
      <c r="D846" s="73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  <c r="AP846" s="66"/>
      <c r="AQ846" s="66"/>
      <c r="AR846" s="66"/>
      <c r="AS846" s="66"/>
      <c r="AT846" s="66"/>
      <c r="AU846" s="66"/>
      <c r="AV846" s="66"/>
      <c r="AW846" s="66"/>
      <c r="AX846" s="66"/>
      <c r="AY846" s="66"/>
      <c r="AZ846" s="66"/>
      <c r="BA846" s="66"/>
      <c r="BB846" s="66"/>
      <c r="BC846" s="66"/>
      <c r="BD846" s="66"/>
      <c r="BE846" s="66"/>
      <c r="BF846" s="66"/>
      <c r="BG846" s="66"/>
      <c r="BH846" s="66"/>
      <c r="BI846" s="66"/>
      <c r="BJ846" s="66"/>
      <c r="BK846" s="66"/>
      <c r="BL846" s="66"/>
      <c r="BM846" s="66"/>
      <c r="BN846" s="66"/>
      <c r="BO846" s="66"/>
      <c r="BP846" s="66"/>
      <c r="BQ846" s="66"/>
      <c r="BR846" s="66"/>
      <c r="BS846" s="66"/>
      <c r="BT846" s="66"/>
      <c r="BU846" s="66"/>
      <c r="BV846" s="66"/>
      <c r="BW846" s="66"/>
    </row>
    <row r="847" ht="21.0" customHeight="1">
      <c r="A847" s="12"/>
      <c r="B847" s="21" t="s">
        <v>770</v>
      </c>
      <c r="C847" s="21">
        <f>vlookup(B847,'재고 백업'!$A:$B,2,0)</f>
        <v>9999</v>
      </c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  <c r="AP847" s="66"/>
      <c r="AQ847" s="66"/>
      <c r="AR847" s="66"/>
      <c r="AS847" s="66"/>
      <c r="AT847" s="66"/>
      <c r="AU847" s="66"/>
      <c r="AV847" s="66"/>
      <c r="AW847" s="66"/>
      <c r="AX847" s="66"/>
      <c r="AY847" s="66"/>
      <c r="AZ847" s="66"/>
      <c r="BA847" s="66"/>
      <c r="BB847" s="66"/>
      <c r="BC847" s="66"/>
      <c r="BD847" s="66"/>
      <c r="BE847" s="66"/>
      <c r="BF847" s="66"/>
      <c r="BG847" s="66"/>
      <c r="BH847" s="66"/>
      <c r="BI847" s="66"/>
      <c r="BJ847" s="66"/>
      <c r="BK847" s="66"/>
      <c r="BL847" s="66"/>
      <c r="BM847" s="66"/>
      <c r="BN847" s="66"/>
      <c r="BO847" s="66"/>
      <c r="BP847" s="66"/>
      <c r="BQ847" s="66"/>
      <c r="BR847" s="66"/>
      <c r="BS847" s="66"/>
      <c r="BT847" s="66"/>
      <c r="BU847" s="66"/>
      <c r="BV847" s="66"/>
      <c r="BW847" s="66"/>
    </row>
    <row r="848" ht="21.0" customHeight="1">
      <c r="A848" s="12"/>
      <c r="B848" s="21" t="s">
        <v>771</v>
      </c>
      <c r="C848" s="21">
        <f>vlookup(B848,'재고 백업'!$A:$B,2,0)</f>
        <v>9999</v>
      </c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  <c r="AP848" s="66"/>
      <c r="AQ848" s="66"/>
      <c r="AR848" s="66"/>
      <c r="AS848" s="66"/>
      <c r="AT848" s="66"/>
      <c r="AU848" s="66"/>
      <c r="AV848" s="66"/>
      <c r="AW848" s="66"/>
      <c r="AX848" s="66"/>
      <c r="AY848" s="66"/>
      <c r="AZ848" s="66"/>
      <c r="BA848" s="66"/>
      <c r="BB848" s="66"/>
      <c r="BC848" s="66"/>
      <c r="BD848" s="66"/>
      <c r="BE848" s="66"/>
      <c r="BF848" s="66"/>
      <c r="BG848" s="66"/>
      <c r="BH848" s="66"/>
      <c r="BI848" s="66"/>
      <c r="BJ848" s="66"/>
      <c r="BK848" s="66"/>
      <c r="BL848" s="66"/>
      <c r="BM848" s="66"/>
      <c r="BN848" s="66"/>
      <c r="BO848" s="66"/>
      <c r="BP848" s="66"/>
      <c r="BQ848" s="66"/>
      <c r="BR848" s="66"/>
      <c r="BS848" s="66"/>
      <c r="BT848" s="66"/>
      <c r="BU848" s="66"/>
      <c r="BV848" s="66"/>
      <c r="BW848" s="66"/>
    </row>
    <row r="849" ht="21.0" customHeight="1">
      <c r="A849" s="12"/>
      <c r="B849" s="74"/>
      <c r="C849" s="75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  <c r="AP849" s="66"/>
      <c r="AQ849" s="66"/>
      <c r="AR849" s="66"/>
      <c r="AS849" s="66"/>
      <c r="AT849" s="66"/>
      <c r="AU849" s="66"/>
      <c r="AV849" s="66"/>
      <c r="AW849" s="66"/>
      <c r="AX849" s="66"/>
      <c r="AY849" s="66"/>
      <c r="AZ849" s="66"/>
      <c r="BA849" s="66"/>
      <c r="BB849" s="66"/>
      <c r="BC849" s="66"/>
      <c r="BD849" s="66"/>
      <c r="BE849" s="66"/>
      <c r="BF849" s="66"/>
      <c r="BG849" s="66"/>
      <c r="BH849" s="66"/>
      <c r="BI849" s="66"/>
      <c r="BJ849" s="66"/>
      <c r="BK849" s="66"/>
      <c r="BL849" s="66"/>
      <c r="BM849" s="66"/>
      <c r="BN849" s="66"/>
      <c r="BO849" s="66"/>
      <c r="BP849" s="66"/>
      <c r="BQ849" s="66"/>
      <c r="BR849" s="66"/>
      <c r="BS849" s="66"/>
      <c r="BT849" s="66"/>
      <c r="BU849" s="66"/>
      <c r="BV849" s="66"/>
      <c r="BW849" s="66"/>
    </row>
    <row r="850" ht="21.0" customHeight="1">
      <c r="A850" s="12"/>
      <c r="B850" s="74"/>
      <c r="C850" s="7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  <c r="AP850" s="66"/>
      <c r="AQ850" s="66"/>
      <c r="AR850" s="66"/>
      <c r="AS850" s="66"/>
      <c r="AT850" s="66"/>
      <c r="AU850" s="66"/>
      <c r="AV850" s="66"/>
      <c r="AW850" s="66"/>
      <c r="AX850" s="66"/>
      <c r="AY850" s="66"/>
      <c r="AZ850" s="66"/>
      <c r="BA850" s="66"/>
      <c r="BB850" s="66"/>
      <c r="BC850" s="66"/>
      <c r="BD850" s="66"/>
      <c r="BE850" s="66"/>
      <c r="BF850" s="66"/>
      <c r="BG850" s="66"/>
      <c r="BH850" s="66"/>
      <c r="BI850" s="66"/>
      <c r="BJ850" s="66"/>
      <c r="BK850" s="66"/>
      <c r="BL850" s="66"/>
      <c r="BM850" s="66"/>
      <c r="BN850" s="66"/>
      <c r="BO850" s="66"/>
      <c r="BP850" s="66"/>
      <c r="BQ850" s="66"/>
      <c r="BR850" s="66"/>
      <c r="BS850" s="66"/>
      <c r="BT850" s="66"/>
      <c r="BU850" s="66"/>
      <c r="BV850" s="66"/>
      <c r="BW850" s="66"/>
    </row>
    <row r="851" ht="21.0" customHeight="1">
      <c r="A851" s="12"/>
      <c r="B851" s="74"/>
      <c r="C851" s="75" t="str">
        <f>SUM(C11:C840)</f>
        <v>#N/A</v>
      </c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  <c r="AP851" s="66"/>
      <c r="AQ851" s="66"/>
      <c r="AR851" s="66"/>
      <c r="AS851" s="66"/>
      <c r="AT851" s="66"/>
      <c r="AU851" s="66"/>
      <c r="AV851" s="66"/>
      <c r="AW851" s="66"/>
      <c r="AX851" s="66"/>
      <c r="AY851" s="66"/>
      <c r="AZ851" s="66"/>
      <c r="BA851" s="66"/>
      <c r="BB851" s="66"/>
      <c r="BC851" s="66"/>
      <c r="BD851" s="66"/>
      <c r="BE851" s="66"/>
      <c r="BF851" s="66"/>
      <c r="BG851" s="66"/>
      <c r="BH851" s="66"/>
      <c r="BI851" s="66"/>
      <c r="BJ851" s="66"/>
      <c r="BK851" s="66"/>
      <c r="BL851" s="66"/>
      <c r="BM851" s="66"/>
      <c r="BN851" s="66"/>
      <c r="BO851" s="66"/>
      <c r="BP851" s="66"/>
      <c r="BQ851" s="66"/>
      <c r="BR851" s="66"/>
      <c r="BS851" s="66"/>
      <c r="BT851" s="66"/>
      <c r="BU851" s="66"/>
      <c r="BV851" s="66"/>
      <c r="BW851" s="66"/>
    </row>
    <row r="852" ht="21.0" customHeight="1">
      <c r="A852" s="12"/>
      <c r="B852" s="74"/>
      <c r="C852" s="75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  <c r="AQ852" s="66"/>
      <c r="AR852" s="66"/>
      <c r="AS852" s="66"/>
      <c r="AT852" s="66"/>
      <c r="AU852" s="66"/>
      <c r="AV852" s="66"/>
      <c r="AW852" s="66"/>
      <c r="AX852" s="66"/>
      <c r="AY852" s="66"/>
      <c r="AZ852" s="66"/>
      <c r="BA852" s="66"/>
      <c r="BB852" s="66"/>
      <c r="BC852" s="66"/>
      <c r="BD852" s="66"/>
      <c r="BE852" s="66"/>
      <c r="BF852" s="66"/>
      <c r="BG852" s="66"/>
      <c r="BH852" s="66"/>
      <c r="BI852" s="66"/>
      <c r="BJ852" s="66"/>
      <c r="BK852" s="66"/>
      <c r="BL852" s="66"/>
      <c r="BM852" s="66"/>
      <c r="BN852" s="66"/>
      <c r="BO852" s="66"/>
      <c r="BP852" s="66"/>
      <c r="BQ852" s="66"/>
      <c r="BR852" s="66"/>
      <c r="BS852" s="66"/>
      <c r="BT852" s="66"/>
      <c r="BU852" s="66"/>
      <c r="BV852" s="66"/>
      <c r="BW852" s="66"/>
    </row>
    <row r="853" ht="21.0" customHeight="1">
      <c r="A853" s="12"/>
      <c r="B853" s="74"/>
      <c r="C853" s="75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  <c r="AP853" s="66"/>
      <c r="AQ853" s="66"/>
      <c r="AR853" s="66"/>
      <c r="AS853" s="66"/>
      <c r="AT853" s="66"/>
      <c r="AU853" s="66"/>
      <c r="AV853" s="66"/>
      <c r="AW853" s="66"/>
      <c r="AX853" s="66"/>
      <c r="AY853" s="66"/>
      <c r="AZ853" s="66"/>
      <c r="BA853" s="66"/>
      <c r="BB853" s="66"/>
      <c r="BC853" s="66"/>
      <c r="BD853" s="66"/>
      <c r="BE853" s="66"/>
      <c r="BF853" s="66"/>
      <c r="BG853" s="66"/>
      <c r="BH853" s="66"/>
      <c r="BI853" s="66"/>
      <c r="BJ853" s="66"/>
      <c r="BK853" s="66"/>
      <c r="BL853" s="66"/>
      <c r="BM853" s="66"/>
      <c r="BN853" s="66"/>
      <c r="BO853" s="66"/>
      <c r="BP853" s="66"/>
      <c r="BQ853" s="66"/>
      <c r="BR853" s="66"/>
      <c r="BS853" s="66"/>
      <c r="BT853" s="66"/>
      <c r="BU853" s="66"/>
      <c r="BV853" s="66"/>
      <c r="BW853" s="66"/>
    </row>
    <row r="854" ht="21.0" customHeight="1">
      <c r="A854" s="12"/>
      <c r="B854" s="74"/>
      <c r="C854" s="75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  <c r="AP854" s="66"/>
      <c r="AQ854" s="66"/>
      <c r="AR854" s="66"/>
      <c r="AS854" s="66"/>
      <c r="AT854" s="66"/>
      <c r="AU854" s="66"/>
      <c r="AV854" s="66"/>
      <c r="AW854" s="66"/>
      <c r="AX854" s="66"/>
      <c r="AY854" s="66"/>
      <c r="AZ854" s="66"/>
      <c r="BA854" s="66"/>
      <c r="BB854" s="66"/>
      <c r="BC854" s="66"/>
      <c r="BD854" s="66"/>
      <c r="BE854" s="66"/>
      <c r="BF854" s="66"/>
      <c r="BG854" s="66"/>
      <c r="BH854" s="66"/>
      <c r="BI854" s="66"/>
      <c r="BJ854" s="66"/>
      <c r="BK854" s="66"/>
      <c r="BL854" s="66"/>
      <c r="BM854" s="66"/>
      <c r="BN854" s="66"/>
      <c r="BO854" s="66"/>
      <c r="BP854" s="66"/>
      <c r="BQ854" s="66"/>
      <c r="BR854" s="66"/>
      <c r="BS854" s="66"/>
      <c r="BT854" s="66"/>
      <c r="BU854" s="66"/>
      <c r="BV854" s="66"/>
      <c r="BW854" s="66"/>
    </row>
    <row r="855" ht="21.0" customHeight="1">
      <c r="A855" s="12"/>
      <c r="B855" s="74"/>
      <c r="C855" s="75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  <c r="AR855" s="66"/>
      <c r="AS855" s="66"/>
      <c r="AT855" s="66"/>
      <c r="AU855" s="66"/>
      <c r="AV855" s="66"/>
      <c r="AW855" s="66"/>
      <c r="AX855" s="66"/>
      <c r="AY855" s="66"/>
      <c r="AZ855" s="66"/>
      <c r="BA855" s="66"/>
      <c r="BB855" s="66"/>
      <c r="BC855" s="66"/>
      <c r="BD855" s="66"/>
      <c r="BE855" s="66"/>
      <c r="BF855" s="66"/>
      <c r="BG855" s="66"/>
      <c r="BH855" s="66"/>
      <c r="BI855" s="66"/>
      <c r="BJ855" s="66"/>
      <c r="BK855" s="66"/>
      <c r="BL855" s="66"/>
      <c r="BM855" s="66"/>
      <c r="BN855" s="66"/>
      <c r="BO855" s="66"/>
      <c r="BP855" s="66"/>
      <c r="BQ855" s="66"/>
      <c r="BR855" s="66"/>
      <c r="BS855" s="66"/>
      <c r="BT855" s="66"/>
      <c r="BU855" s="66"/>
      <c r="BV855" s="66"/>
      <c r="BW855" s="66"/>
    </row>
    <row r="856" ht="21.0" customHeight="1">
      <c r="A856" s="12"/>
      <c r="B856" s="74"/>
      <c r="C856" s="75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  <c r="AP856" s="66"/>
      <c r="AQ856" s="66"/>
      <c r="AR856" s="66"/>
      <c r="AS856" s="66"/>
      <c r="AT856" s="66"/>
      <c r="AU856" s="66"/>
      <c r="AV856" s="66"/>
      <c r="AW856" s="66"/>
      <c r="AX856" s="66"/>
      <c r="AY856" s="66"/>
      <c r="AZ856" s="66"/>
      <c r="BA856" s="66"/>
      <c r="BB856" s="66"/>
      <c r="BC856" s="66"/>
      <c r="BD856" s="66"/>
      <c r="BE856" s="66"/>
      <c r="BF856" s="66"/>
      <c r="BG856" s="66"/>
      <c r="BH856" s="66"/>
      <c r="BI856" s="66"/>
      <c r="BJ856" s="66"/>
      <c r="BK856" s="66"/>
      <c r="BL856" s="66"/>
      <c r="BM856" s="66"/>
      <c r="BN856" s="66"/>
      <c r="BO856" s="66"/>
      <c r="BP856" s="66"/>
      <c r="BQ856" s="66"/>
      <c r="BR856" s="66"/>
      <c r="BS856" s="66"/>
      <c r="BT856" s="66"/>
      <c r="BU856" s="66"/>
      <c r="BV856" s="66"/>
      <c r="BW856" s="66"/>
    </row>
    <row r="857" ht="21.0" customHeight="1">
      <c r="A857" s="12"/>
      <c r="B857" s="74"/>
      <c r="C857" s="75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  <c r="AR857" s="66"/>
      <c r="AS857" s="66"/>
      <c r="AT857" s="66"/>
      <c r="AU857" s="66"/>
      <c r="AV857" s="66"/>
      <c r="AW857" s="66"/>
      <c r="AX857" s="66"/>
      <c r="AY857" s="66"/>
      <c r="AZ857" s="66"/>
      <c r="BA857" s="66"/>
      <c r="BB857" s="66"/>
      <c r="BC857" s="66"/>
      <c r="BD857" s="66"/>
      <c r="BE857" s="66"/>
      <c r="BF857" s="66"/>
      <c r="BG857" s="66"/>
      <c r="BH857" s="66"/>
      <c r="BI857" s="66"/>
      <c r="BJ857" s="66"/>
      <c r="BK857" s="66"/>
      <c r="BL857" s="66"/>
      <c r="BM857" s="66"/>
      <c r="BN857" s="66"/>
      <c r="BO857" s="66"/>
      <c r="BP857" s="66"/>
      <c r="BQ857" s="66"/>
      <c r="BR857" s="66"/>
      <c r="BS857" s="66"/>
      <c r="BT857" s="66"/>
      <c r="BU857" s="66"/>
      <c r="BV857" s="66"/>
      <c r="BW857" s="66"/>
    </row>
    <row r="858" ht="21.0" customHeight="1">
      <c r="A858" s="12"/>
      <c r="B858" s="74"/>
      <c r="C858" s="75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  <c r="AP858" s="66"/>
      <c r="AQ858" s="66"/>
      <c r="AR858" s="66"/>
      <c r="AS858" s="66"/>
      <c r="AT858" s="66"/>
      <c r="AU858" s="66"/>
      <c r="AV858" s="66"/>
      <c r="AW858" s="66"/>
      <c r="AX858" s="66"/>
      <c r="AY858" s="66"/>
      <c r="AZ858" s="66"/>
      <c r="BA858" s="66"/>
      <c r="BB858" s="66"/>
      <c r="BC858" s="66"/>
      <c r="BD858" s="66"/>
      <c r="BE858" s="66"/>
      <c r="BF858" s="66"/>
      <c r="BG858" s="66"/>
      <c r="BH858" s="66"/>
      <c r="BI858" s="66"/>
      <c r="BJ858" s="66"/>
      <c r="BK858" s="66"/>
      <c r="BL858" s="66"/>
      <c r="BM858" s="66"/>
      <c r="BN858" s="66"/>
      <c r="BO858" s="66"/>
      <c r="BP858" s="66"/>
      <c r="BQ858" s="66"/>
      <c r="BR858" s="66"/>
      <c r="BS858" s="66"/>
      <c r="BT858" s="66"/>
      <c r="BU858" s="66"/>
      <c r="BV858" s="66"/>
      <c r="BW858" s="66"/>
    </row>
    <row r="859" ht="21.0" customHeight="1">
      <c r="A859" s="12"/>
      <c r="B859" s="74"/>
      <c r="C859" s="75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  <c r="AP859" s="66"/>
      <c r="AQ859" s="66"/>
      <c r="AR859" s="66"/>
      <c r="AS859" s="66"/>
      <c r="AT859" s="66"/>
      <c r="AU859" s="66"/>
      <c r="AV859" s="66"/>
      <c r="AW859" s="66"/>
      <c r="AX859" s="66"/>
      <c r="AY859" s="66"/>
      <c r="AZ859" s="66"/>
      <c r="BA859" s="66"/>
      <c r="BB859" s="66"/>
      <c r="BC859" s="66"/>
      <c r="BD859" s="66"/>
      <c r="BE859" s="66"/>
      <c r="BF859" s="66"/>
      <c r="BG859" s="66"/>
      <c r="BH859" s="66"/>
      <c r="BI859" s="66"/>
      <c r="BJ859" s="66"/>
      <c r="BK859" s="66"/>
      <c r="BL859" s="66"/>
      <c r="BM859" s="66"/>
      <c r="BN859" s="66"/>
      <c r="BO859" s="66"/>
      <c r="BP859" s="66"/>
      <c r="BQ859" s="66"/>
      <c r="BR859" s="66"/>
      <c r="BS859" s="66"/>
      <c r="BT859" s="66"/>
      <c r="BU859" s="66"/>
      <c r="BV859" s="66"/>
      <c r="BW859" s="66"/>
    </row>
    <row r="860" ht="21.0" customHeight="1">
      <c r="A860" s="12"/>
      <c r="B860" s="74"/>
      <c r="C860" s="75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  <c r="AR860" s="66"/>
      <c r="AS860" s="66"/>
      <c r="AT860" s="66"/>
      <c r="AU860" s="66"/>
      <c r="AV860" s="66"/>
      <c r="AW860" s="66"/>
      <c r="AX860" s="66"/>
      <c r="AY860" s="66"/>
      <c r="AZ860" s="66"/>
      <c r="BA860" s="66"/>
      <c r="BB860" s="66"/>
      <c r="BC860" s="66"/>
      <c r="BD860" s="66"/>
      <c r="BE860" s="66"/>
      <c r="BF860" s="66"/>
      <c r="BG860" s="66"/>
      <c r="BH860" s="66"/>
      <c r="BI860" s="66"/>
      <c r="BJ860" s="66"/>
      <c r="BK860" s="66"/>
      <c r="BL860" s="66"/>
      <c r="BM860" s="66"/>
      <c r="BN860" s="66"/>
      <c r="BO860" s="66"/>
      <c r="BP860" s="66"/>
      <c r="BQ860" s="66"/>
      <c r="BR860" s="66"/>
      <c r="BS860" s="66"/>
      <c r="BT860" s="66"/>
      <c r="BU860" s="66"/>
      <c r="BV860" s="66"/>
      <c r="BW860" s="66"/>
    </row>
    <row r="861" ht="21.0" customHeight="1">
      <c r="A861" s="12"/>
      <c r="B861" s="74"/>
      <c r="C861" s="75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  <c r="AP861" s="66"/>
      <c r="AQ861" s="66"/>
      <c r="AR861" s="66"/>
      <c r="AS861" s="66"/>
      <c r="AT861" s="66"/>
      <c r="AU861" s="66"/>
      <c r="AV861" s="66"/>
      <c r="AW861" s="66"/>
      <c r="AX861" s="66"/>
      <c r="AY861" s="66"/>
      <c r="AZ861" s="66"/>
      <c r="BA861" s="66"/>
      <c r="BB861" s="66"/>
      <c r="BC861" s="66"/>
      <c r="BD861" s="66"/>
      <c r="BE861" s="66"/>
      <c r="BF861" s="66"/>
      <c r="BG861" s="66"/>
      <c r="BH861" s="66"/>
      <c r="BI861" s="66"/>
      <c r="BJ861" s="66"/>
      <c r="BK861" s="66"/>
      <c r="BL861" s="66"/>
      <c r="BM861" s="66"/>
      <c r="BN861" s="66"/>
      <c r="BO861" s="66"/>
      <c r="BP861" s="66"/>
      <c r="BQ861" s="66"/>
      <c r="BR861" s="66"/>
      <c r="BS861" s="66"/>
      <c r="BT861" s="66"/>
      <c r="BU861" s="66"/>
      <c r="BV861" s="66"/>
      <c r="BW861" s="66"/>
    </row>
    <row r="862" ht="21.0" customHeight="1">
      <c r="A862" s="12"/>
      <c r="B862" s="74"/>
      <c r="C862" s="75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6"/>
      <c r="AS862" s="66"/>
      <c r="AT862" s="66"/>
      <c r="AU862" s="66"/>
      <c r="AV862" s="66"/>
      <c r="AW862" s="66"/>
      <c r="AX862" s="66"/>
      <c r="AY862" s="66"/>
      <c r="AZ862" s="66"/>
      <c r="BA862" s="66"/>
      <c r="BB862" s="66"/>
      <c r="BC862" s="66"/>
      <c r="BD862" s="66"/>
      <c r="BE862" s="66"/>
      <c r="BF862" s="66"/>
      <c r="BG862" s="66"/>
      <c r="BH862" s="66"/>
      <c r="BI862" s="66"/>
      <c r="BJ862" s="66"/>
      <c r="BK862" s="66"/>
      <c r="BL862" s="66"/>
      <c r="BM862" s="66"/>
      <c r="BN862" s="66"/>
      <c r="BO862" s="66"/>
      <c r="BP862" s="66"/>
      <c r="BQ862" s="66"/>
      <c r="BR862" s="66"/>
      <c r="BS862" s="66"/>
      <c r="BT862" s="66"/>
      <c r="BU862" s="66"/>
      <c r="BV862" s="66"/>
      <c r="BW862" s="66"/>
    </row>
    <row r="863" ht="21.0" customHeight="1">
      <c r="A863" s="12"/>
      <c r="B863" s="74"/>
      <c r="C863" s="75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  <c r="AS863" s="66"/>
      <c r="AT863" s="66"/>
      <c r="AU863" s="66"/>
      <c r="AV863" s="66"/>
      <c r="AW863" s="66"/>
      <c r="AX863" s="66"/>
      <c r="AY863" s="66"/>
      <c r="AZ863" s="66"/>
      <c r="BA863" s="66"/>
      <c r="BB863" s="66"/>
      <c r="BC863" s="66"/>
      <c r="BD863" s="66"/>
      <c r="BE863" s="66"/>
      <c r="BF863" s="66"/>
      <c r="BG863" s="66"/>
      <c r="BH863" s="66"/>
      <c r="BI863" s="66"/>
      <c r="BJ863" s="66"/>
      <c r="BK863" s="66"/>
      <c r="BL863" s="66"/>
      <c r="BM863" s="66"/>
      <c r="BN863" s="66"/>
      <c r="BO863" s="66"/>
      <c r="BP863" s="66"/>
      <c r="BQ863" s="66"/>
      <c r="BR863" s="66"/>
      <c r="BS863" s="66"/>
      <c r="BT863" s="66"/>
      <c r="BU863" s="66"/>
      <c r="BV863" s="66"/>
      <c r="BW863" s="66"/>
    </row>
    <row r="864" ht="21.0" customHeight="1">
      <c r="A864" s="12"/>
      <c r="B864" s="74"/>
      <c r="C864" s="75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  <c r="AQ864" s="66"/>
      <c r="AR864" s="66"/>
      <c r="AS864" s="66"/>
      <c r="AT864" s="66"/>
      <c r="AU864" s="66"/>
      <c r="AV864" s="66"/>
      <c r="AW864" s="66"/>
      <c r="AX864" s="66"/>
      <c r="AY864" s="66"/>
      <c r="AZ864" s="66"/>
      <c r="BA864" s="66"/>
      <c r="BB864" s="66"/>
      <c r="BC864" s="66"/>
      <c r="BD864" s="66"/>
      <c r="BE864" s="66"/>
      <c r="BF864" s="66"/>
      <c r="BG864" s="66"/>
      <c r="BH864" s="66"/>
      <c r="BI864" s="66"/>
      <c r="BJ864" s="66"/>
      <c r="BK864" s="66"/>
      <c r="BL864" s="66"/>
      <c r="BM864" s="66"/>
      <c r="BN864" s="66"/>
      <c r="BO864" s="66"/>
      <c r="BP864" s="66"/>
      <c r="BQ864" s="66"/>
      <c r="BR864" s="66"/>
      <c r="BS864" s="66"/>
      <c r="BT864" s="66"/>
      <c r="BU864" s="66"/>
      <c r="BV864" s="66"/>
      <c r="BW864" s="66"/>
    </row>
    <row r="865" ht="21.0" customHeight="1">
      <c r="A865" s="12"/>
      <c r="B865" s="66"/>
      <c r="C865" s="77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  <c r="AR865" s="66"/>
      <c r="AS865" s="66"/>
      <c r="AT865" s="66"/>
      <c r="AU865" s="66"/>
      <c r="AV865" s="66"/>
      <c r="AW865" s="66"/>
      <c r="AX865" s="66"/>
      <c r="AY865" s="66"/>
      <c r="AZ865" s="66"/>
      <c r="BA865" s="66"/>
      <c r="BB865" s="66"/>
      <c r="BC865" s="66"/>
      <c r="BD865" s="66"/>
      <c r="BE865" s="66"/>
      <c r="BF865" s="66"/>
      <c r="BG865" s="66"/>
      <c r="BH865" s="66"/>
      <c r="BI865" s="66"/>
      <c r="BJ865" s="66"/>
      <c r="BK865" s="66"/>
      <c r="BL865" s="66"/>
      <c r="BM865" s="66"/>
      <c r="BN865" s="66"/>
      <c r="BO865" s="66"/>
      <c r="BP865" s="66"/>
      <c r="BQ865" s="66"/>
      <c r="BR865" s="66"/>
      <c r="BS865" s="66"/>
      <c r="BT865" s="66"/>
      <c r="BU865" s="66"/>
      <c r="BV865" s="66"/>
      <c r="BW865" s="66"/>
    </row>
    <row r="866" ht="21.0" customHeight="1">
      <c r="A866" s="12"/>
      <c r="B866" s="78"/>
      <c r="C866" s="77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  <c r="AR866" s="66"/>
      <c r="AS866" s="66"/>
      <c r="AT866" s="66"/>
      <c r="AU866" s="66"/>
      <c r="AV866" s="66"/>
      <c r="AW866" s="66"/>
      <c r="AX866" s="66"/>
      <c r="AY866" s="66"/>
      <c r="AZ866" s="66"/>
      <c r="BA866" s="66"/>
      <c r="BB866" s="66"/>
      <c r="BC866" s="66"/>
      <c r="BD866" s="66"/>
      <c r="BE866" s="66"/>
      <c r="BF866" s="66"/>
      <c r="BG866" s="66"/>
      <c r="BH866" s="66"/>
      <c r="BI866" s="66"/>
      <c r="BJ866" s="66"/>
      <c r="BK866" s="66"/>
      <c r="BL866" s="66"/>
      <c r="BM866" s="66"/>
      <c r="BN866" s="66"/>
      <c r="BO866" s="66"/>
      <c r="BP866" s="66"/>
      <c r="BQ866" s="66"/>
      <c r="BR866" s="66"/>
      <c r="BS866" s="66"/>
      <c r="BT866" s="66"/>
      <c r="BU866" s="66"/>
      <c r="BV866" s="66"/>
      <c r="BW866" s="66"/>
    </row>
    <row r="867" ht="21.0" customHeight="1">
      <c r="A867" s="12"/>
      <c r="B867" s="78"/>
      <c r="C867" s="77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  <c r="AP867" s="66"/>
      <c r="AQ867" s="66"/>
      <c r="AR867" s="66"/>
      <c r="AS867" s="66"/>
      <c r="AT867" s="66"/>
      <c r="AU867" s="66"/>
      <c r="AV867" s="66"/>
      <c r="AW867" s="66"/>
      <c r="AX867" s="66"/>
      <c r="AY867" s="66"/>
      <c r="AZ867" s="66"/>
      <c r="BA867" s="66"/>
      <c r="BB867" s="66"/>
      <c r="BC867" s="66"/>
      <c r="BD867" s="66"/>
      <c r="BE867" s="66"/>
      <c r="BF867" s="66"/>
      <c r="BG867" s="66"/>
      <c r="BH867" s="66"/>
      <c r="BI867" s="66"/>
      <c r="BJ867" s="66"/>
      <c r="BK867" s="66"/>
      <c r="BL867" s="66"/>
      <c r="BM867" s="66"/>
      <c r="BN867" s="66"/>
      <c r="BO867" s="66"/>
      <c r="BP867" s="66"/>
      <c r="BQ867" s="66"/>
      <c r="BR867" s="66"/>
      <c r="BS867" s="66"/>
      <c r="BT867" s="66"/>
      <c r="BU867" s="66"/>
      <c r="BV867" s="66"/>
      <c r="BW867" s="66"/>
    </row>
    <row r="868" ht="21.0" customHeight="1">
      <c r="A868" s="12"/>
      <c r="B868" s="78"/>
      <c r="C868" s="77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  <c r="AR868" s="66"/>
      <c r="AS868" s="66"/>
      <c r="AT868" s="66"/>
      <c r="AU868" s="66"/>
      <c r="AV868" s="66"/>
      <c r="AW868" s="66"/>
      <c r="AX868" s="66"/>
      <c r="AY868" s="66"/>
      <c r="AZ868" s="66"/>
      <c r="BA868" s="66"/>
      <c r="BB868" s="66"/>
      <c r="BC868" s="66"/>
      <c r="BD868" s="66"/>
      <c r="BE868" s="66"/>
      <c r="BF868" s="66"/>
      <c r="BG868" s="66"/>
      <c r="BH868" s="66"/>
      <c r="BI868" s="66"/>
      <c r="BJ868" s="66"/>
      <c r="BK868" s="66"/>
      <c r="BL868" s="66"/>
      <c r="BM868" s="66"/>
      <c r="BN868" s="66"/>
      <c r="BO868" s="66"/>
      <c r="BP868" s="66"/>
      <c r="BQ868" s="66"/>
      <c r="BR868" s="66"/>
      <c r="BS868" s="66"/>
      <c r="BT868" s="66"/>
      <c r="BU868" s="66"/>
      <c r="BV868" s="66"/>
      <c r="BW868" s="66"/>
    </row>
    <row r="869" ht="21.0" customHeight="1">
      <c r="A869" s="12"/>
      <c r="B869" s="78"/>
      <c r="C869" s="77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  <c r="AR869" s="66"/>
      <c r="AS869" s="66"/>
      <c r="AT869" s="66"/>
      <c r="AU869" s="66"/>
      <c r="AV869" s="66"/>
      <c r="AW869" s="66"/>
      <c r="AX869" s="66"/>
      <c r="AY869" s="66"/>
      <c r="AZ869" s="66"/>
      <c r="BA869" s="66"/>
      <c r="BB869" s="66"/>
      <c r="BC869" s="66"/>
      <c r="BD869" s="66"/>
      <c r="BE869" s="66"/>
      <c r="BF869" s="66"/>
      <c r="BG869" s="66"/>
      <c r="BH869" s="66"/>
      <c r="BI869" s="66"/>
      <c r="BJ869" s="66"/>
      <c r="BK869" s="66"/>
      <c r="BL869" s="66"/>
      <c r="BM869" s="66"/>
      <c r="BN869" s="66"/>
      <c r="BO869" s="66"/>
      <c r="BP869" s="66"/>
      <c r="BQ869" s="66"/>
      <c r="BR869" s="66"/>
      <c r="BS869" s="66"/>
      <c r="BT869" s="66"/>
      <c r="BU869" s="66"/>
      <c r="BV869" s="66"/>
      <c r="BW869" s="66"/>
    </row>
    <row r="870" ht="21.0" customHeight="1">
      <c r="A870" s="12"/>
      <c r="B870" s="78"/>
      <c r="C870" s="77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  <c r="AR870" s="66"/>
      <c r="AS870" s="66"/>
      <c r="AT870" s="66"/>
      <c r="AU870" s="66"/>
      <c r="AV870" s="66"/>
      <c r="AW870" s="66"/>
      <c r="AX870" s="66"/>
      <c r="AY870" s="66"/>
      <c r="AZ870" s="66"/>
      <c r="BA870" s="66"/>
      <c r="BB870" s="66"/>
      <c r="BC870" s="66"/>
      <c r="BD870" s="66"/>
      <c r="BE870" s="66"/>
      <c r="BF870" s="66"/>
      <c r="BG870" s="66"/>
      <c r="BH870" s="66"/>
      <c r="BI870" s="66"/>
      <c r="BJ870" s="66"/>
      <c r="BK870" s="66"/>
      <c r="BL870" s="66"/>
      <c r="BM870" s="66"/>
      <c r="BN870" s="66"/>
      <c r="BO870" s="66"/>
      <c r="BP870" s="66"/>
      <c r="BQ870" s="66"/>
      <c r="BR870" s="66"/>
      <c r="BS870" s="66"/>
      <c r="BT870" s="66"/>
      <c r="BU870" s="66"/>
      <c r="BV870" s="66"/>
      <c r="BW870" s="66"/>
    </row>
    <row r="871" ht="21.0" customHeight="1">
      <c r="A871" s="12"/>
      <c r="B871" s="78"/>
      <c r="C871" s="77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  <c r="AP871" s="66"/>
      <c r="AQ871" s="66"/>
      <c r="AR871" s="66"/>
      <c r="AS871" s="66"/>
      <c r="AT871" s="66"/>
      <c r="AU871" s="66"/>
      <c r="AV871" s="66"/>
      <c r="AW871" s="66"/>
      <c r="AX871" s="66"/>
      <c r="AY871" s="66"/>
      <c r="AZ871" s="66"/>
      <c r="BA871" s="66"/>
      <c r="BB871" s="66"/>
      <c r="BC871" s="66"/>
      <c r="BD871" s="66"/>
      <c r="BE871" s="66"/>
      <c r="BF871" s="66"/>
      <c r="BG871" s="66"/>
      <c r="BH871" s="66"/>
      <c r="BI871" s="66"/>
      <c r="BJ871" s="66"/>
      <c r="BK871" s="66"/>
      <c r="BL871" s="66"/>
      <c r="BM871" s="66"/>
      <c r="BN871" s="66"/>
      <c r="BO871" s="66"/>
      <c r="BP871" s="66"/>
      <c r="BQ871" s="66"/>
      <c r="BR871" s="66"/>
      <c r="BS871" s="66"/>
      <c r="BT871" s="66"/>
      <c r="BU871" s="66"/>
      <c r="BV871" s="66"/>
      <c r="BW871" s="66"/>
    </row>
    <row r="872" ht="21.0" customHeight="1">
      <c r="A872" s="12"/>
      <c r="B872" s="78"/>
      <c r="C872" s="77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  <c r="AR872" s="66"/>
      <c r="AS872" s="66"/>
      <c r="AT872" s="66"/>
      <c r="AU872" s="66"/>
      <c r="AV872" s="66"/>
      <c r="AW872" s="66"/>
      <c r="AX872" s="66"/>
      <c r="AY872" s="66"/>
      <c r="AZ872" s="66"/>
      <c r="BA872" s="66"/>
      <c r="BB872" s="66"/>
      <c r="BC872" s="66"/>
      <c r="BD872" s="66"/>
      <c r="BE872" s="66"/>
      <c r="BF872" s="66"/>
      <c r="BG872" s="66"/>
      <c r="BH872" s="66"/>
      <c r="BI872" s="66"/>
      <c r="BJ872" s="66"/>
      <c r="BK872" s="66"/>
      <c r="BL872" s="66"/>
      <c r="BM872" s="66"/>
      <c r="BN872" s="66"/>
      <c r="BO872" s="66"/>
      <c r="BP872" s="66"/>
      <c r="BQ872" s="66"/>
      <c r="BR872" s="66"/>
      <c r="BS872" s="66"/>
      <c r="BT872" s="66"/>
      <c r="BU872" s="66"/>
      <c r="BV872" s="66"/>
      <c r="BW872" s="66"/>
    </row>
    <row r="873" ht="21.0" customHeight="1">
      <c r="A873" s="12"/>
      <c r="B873" s="78"/>
      <c r="C873" s="77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  <c r="AR873" s="66"/>
      <c r="AS873" s="66"/>
      <c r="AT873" s="66"/>
      <c r="AU873" s="66"/>
      <c r="AV873" s="66"/>
      <c r="AW873" s="66"/>
      <c r="AX873" s="66"/>
      <c r="AY873" s="66"/>
      <c r="AZ873" s="66"/>
      <c r="BA873" s="66"/>
      <c r="BB873" s="66"/>
      <c r="BC873" s="66"/>
      <c r="BD873" s="66"/>
      <c r="BE873" s="66"/>
      <c r="BF873" s="66"/>
      <c r="BG873" s="66"/>
      <c r="BH873" s="66"/>
      <c r="BI873" s="66"/>
      <c r="BJ873" s="66"/>
      <c r="BK873" s="66"/>
      <c r="BL873" s="66"/>
      <c r="BM873" s="66"/>
      <c r="BN873" s="66"/>
      <c r="BO873" s="66"/>
      <c r="BP873" s="66"/>
      <c r="BQ873" s="66"/>
      <c r="BR873" s="66"/>
      <c r="BS873" s="66"/>
      <c r="BT873" s="66"/>
      <c r="BU873" s="66"/>
      <c r="BV873" s="66"/>
      <c r="BW873" s="66"/>
    </row>
    <row r="874" ht="21.0" customHeight="1">
      <c r="A874" s="12"/>
      <c r="B874" s="78"/>
      <c r="C874" s="77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  <c r="AR874" s="66"/>
      <c r="AS874" s="66"/>
      <c r="AT874" s="66"/>
      <c r="AU874" s="66"/>
      <c r="AV874" s="66"/>
      <c r="AW874" s="66"/>
      <c r="AX874" s="66"/>
      <c r="AY874" s="66"/>
      <c r="AZ874" s="66"/>
      <c r="BA874" s="66"/>
      <c r="BB874" s="66"/>
      <c r="BC874" s="66"/>
      <c r="BD874" s="66"/>
      <c r="BE874" s="66"/>
      <c r="BF874" s="66"/>
      <c r="BG874" s="66"/>
      <c r="BH874" s="66"/>
      <c r="BI874" s="66"/>
      <c r="BJ874" s="66"/>
      <c r="BK874" s="66"/>
      <c r="BL874" s="66"/>
      <c r="BM874" s="66"/>
      <c r="BN874" s="66"/>
      <c r="BO874" s="66"/>
      <c r="BP874" s="66"/>
      <c r="BQ874" s="66"/>
      <c r="BR874" s="66"/>
      <c r="BS874" s="66"/>
      <c r="BT874" s="66"/>
      <c r="BU874" s="66"/>
      <c r="BV874" s="66"/>
      <c r="BW874" s="66"/>
    </row>
    <row r="875" ht="21.0" customHeight="1">
      <c r="A875" s="12"/>
      <c r="B875" s="78"/>
      <c r="C875" s="77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  <c r="AQ875" s="66"/>
      <c r="AR875" s="66"/>
      <c r="AS875" s="66"/>
      <c r="AT875" s="66"/>
      <c r="AU875" s="66"/>
      <c r="AV875" s="66"/>
      <c r="AW875" s="66"/>
      <c r="AX875" s="66"/>
      <c r="AY875" s="66"/>
      <c r="AZ875" s="66"/>
      <c r="BA875" s="66"/>
      <c r="BB875" s="66"/>
      <c r="BC875" s="66"/>
      <c r="BD875" s="66"/>
      <c r="BE875" s="66"/>
      <c r="BF875" s="66"/>
      <c r="BG875" s="66"/>
      <c r="BH875" s="66"/>
      <c r="BI875" s="66"/>
      <c r="BJ875" s="66"/>
      <c r="BK875" s="66"/>
      <c r="BL875" s="66"/>
      <c r="BM875" s="66"/>
      <c r="BN875" s="66"/>
      <c r="BO875" s="66"/>
      <c r="BP875" s="66"/>
      <c r="BQ875" s="66"/>
      <c r="BR875" s="66"/>
      <c r="BS875" s="66"/>
      <c r="BT875" s="66"/>
      <c r="BU875" s="66"/>
      <c r="BV875" s="66"/>
      <c r="BW875" s="66"/>
    </row>
    <row r="876" ht="21.0" customHeight="1">
      <c r="A876" s="12"/>
      <c r="B876" s="78"/>
      <c r="C876" s="77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  <c r="AQ876" s="66"/>
      <c r="AR876" s="66"/>
      <c r="AS876" s="66"/>
      <c r="AT876" s="66"/>
      <c r="AU876" s="66"/>
      <c r="AV876" s="66"/>
      <c r="AW876" s="66"/>
      <c r="AX876" s="66"/>
      <c r="AY876" s="66"/>
      <c r="AZ876" s="66"/>
      <c r="BA876" s="66"/>
      <c r="BB876" s="66"/>
      <c r="BC876" s="66"/>
      <c r="BD876" s="66"/>
      <c r="BE876" s="66"/>
      <c r="BF876" s="66"/>
      <c r="BG876" s="66"/>
      <c r="BH876" s="66"/>
      <c r="BI876" s="66"/>
      <c r="BJ876" s="66"/>
      <c r="BK876" s="66"/>
      <c r="BL876" s="66"/>
      <c r="BM876" s="66"/>
      <c r="BN876" s="66"/>
      <c r="BO876" s="66"/>
      <c r="BP876" s="66"/>
      <c r="BQ876" s="66"/>
      <c r="BR876" s="66"/>
      <c r="BS876" s="66"/>
      <c r="BT876" s="66"/>
      <c r="BU876" s="66"/>
      <c r="BV876" s="66"/>
      <c r="BW876" s="66"/>
    </row>
    <row r="877" ht="21.0" customHeight="1">
      <c r="A877" s="12"/>
      <c r="B877" s="78"/>
      <c r="C877" s="77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  <c r="AQ877" s="66"/>
      <c r="AR877" s="66"/>
      <c r="AS877" s="66"/>
      <c r="AT877" s="66"/>
      <c r="AU877" s="66"/>
      <c r="AV877" s="66"/>
      <c r="AW877" s="66"/>
      <c r="AX877" s="66"/>
      <c r="AY877" s="66"/>
      <c r="AZ877" s="66"/>
      <c r="BA877" s="66"/>
      <c r="BB877" s="66"/>
      <c r="BC877" s="66"/>
      <c r="BD877" s="66"/>
      <c r="BE877" s="66"/>
      <c r="BF877" s="66"/>
      <c r="BG877" s="66"/>
      <c r="BH877" s="66"/>
      <c r="BI877" s="66"/>
      <c r="BJ877" s="66"/>
      <c r="BK877" s="66"/>
      <c r="BL877" s="66"/>
      <c r="BM877" s="66"/>
      <c r="BN877" s="66"/>
      <c r="BO877" s="66"/>
      <c r="BP877" s="66"/>
      <c r="BQ877" s="66"/>
      <c r="BR877" s="66"/>
      <c r="BS877" s="66"/>
      <c r="BT877" s="66"/>
      <c r="BU877" s="66"/>
      <c r="BV877" s="66"/>
      <c r="BW877" s="66"/>
    </row>
    <row r="878" ht="21.0" customHeight="1">
      <c r="A878" s="12"/>
      <c r="B878" s="78"/>
      <c r="C878" s="77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  <c r="AQ878" s="66"/>
      <c r="AR878" s="66"/>
      <c r="AS878" s="66"/>
      <c r="AT878" s="66"/>
      <c r="AU878" s="66"/>
      <c r="AV878" s="66"/>
      <c r="AW878" s="66"/>
      <c r="AX878" s="66"/>
      <c r="AY878" s="66"/>
      <c r="AZ878" s="66"/>
      <c r="BA878" s="66"/>
      <c r="BB878" s="66"/>
      <c r="BC878" s="66"/>
      <c r="BD878" s="66"/>
      <c r="BE878" s="66"/>
      <c r="BF878" s="66"/>
      <c r="BG878" s="66"/>
      <c r="BH878" s="66"/>
      <c r="BI878" s="66"/>
      <c r="BJ878" s="66"/>
      <c r="BK878" s="66"/>
      <c r="BL878" s="66"/>
      <c r="BM878" s="66"/>
      <c r="BN878" s="66"/>
      <c r="BO878" s="66"/>
      <c r="BP878" s="66"/>
      <c r="BQ878" s="66"/>
      <c r="BR878" s="66"/>
      <c r="BS878" s="66"/>
      <c r="BT878" s="66"/>
      <c r="BU878" s="66"/>
      <c r="BV878" s="66"/>
      <c r="BW878" s="66"/>
    </row>
    <row r="879" ht="21.0" customHeight="1">
      <c r="A879" s="12"/>
      <c r="B879" s="78"/>
      <c r="C879" s="77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  <c r="AQ879" s="66"/>
      <c r="AR879" s="66"/>
      <c r="AS879" s="66"/>
      <c r="AT879" s="66"/>
      <c r="AU879" s="66"/>
      <c r="AV879" s="66"/>
      <c r="AW879" s="66"/>
      <c r="AX879" s="66"/>
      <c r="AY879" s="66"/>
      <c r="AZ879" s="66"/>
      <c r="BA879" s="66"/>
      <c r="BB879" s="66"/>
      <c r="BC879" s="66"/>
      <c r="BD879" s="66"/>
      <c r="BE879" s="66"/>
      <c r="BF879" s="66"/>
      <c r="BG879" s="66"/>
      <c r="BH879" s="66"/>
      <c r="BI879" s="66"/>
      <c r="BJ879" s="66"/>
      <c r="BK879" s="66"/>
      <c r="BL879" s="66"/>
      <c r="BM879" s="66"/>
      <c r="BN879" s="66"/>
      <c r="BO879" s="66"/>
      <c r="BP879" s="66"/>
      <c r="BQ879" s="66"/>
      <c r="BR879" s="66"/>
      <c r="BS879" s="66"/>
      <c r="BT879" s="66"/>
      <c r="BU879" s="66"/>
      <c r="BV879" s="66"/>
      <c r="BW879" s="66"/>
    </row>
    <row r="880" ht="21.0" customHeight="1">
      <c r="A880" s="12"/>
      <c r="B880" s="78"/>
      <c r="C880" s="77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  <c r="AS880" s="66"/>
      <c r="AT880" s="66"/>
      <c r="AU880" s="66"/>
      <c r="AV880" s="66"/>
      <c r="AW880" s="66"/>
      <c r="AX880" s="66"/>
      <c r="AY880" s="66"/>
      <c r="AZ880" s="66"/>
      <c r="BA880" s="66"/>
      <c r="BB880" s="66"/>
      <c r="BC880" s="66"/>
      <c r="BD880" s="66"/>
      <c r="BE880" s="66"/>
      <c r="BF880" s="66"/>
      <c r="BG880" s="66"/>
      <c r="BH880" s="66"/>
      <c r="BI880" s="66"/>
      <c r="BJ880" s="66"/>
      <c r="BK880" s="66"/>
      <c r="BL880" s="66"/>
      <c r="BM880" s="66"/>
      <c r="BN880" s="66"/>
      <c r="BO880" s="66"/>
      <c r="BP880" s="66"/>
      <c r="BQ880" s="66"/>
      <c r="BR880" s="66"/>
      <c r="BS880" s="66"/>
      <c r="BT880" s="66"/>
      <c r="BU880" s="66"/>
      <c r="BV880" s="66"/>
      <c r="BW880" s="66"/>
    </row>
    <row r="881" ht="21.0" customHeight="1">
      <c r="A881" s="12"/>
      <c r="B881" s="78"/>
      <c r="C881" s="77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  <c r="AP881" s="66"/>
      <c r="AQ881" s="66"/>
      <c r="AR881" s="66"/>
      <c r="AS881" s="66"/>
      <c r="AT881" s="66"/>
      <c r="AU881" s="66"/>
      <c r="AV881" s="66"/>
      <c r="AW881" s="66"/>
      <c r="AX881" s="66"/>
      <c r="AY881" s="66"/>
      <c r="AZ881" s="66"/>
      <c r="BA881" s="66"/>
      <c r="BB881" s="66"/>
      <c r="BC881" s="66"/>
      <c r="BD881" s="66"/>
      <c r="BE881" s="66"/>
      <c r="BF881" s="66"/>
      <c r="BG881" s="66"/>
      <c r="BH881" s="66"/>
      <c r="BI881" s="66"/>
      <c r="BJ881" s="66"/>
      <c r="BK881" s="66"/>
      <c r="BL881" s="66"/>
      <c r="BM881" s="66"/>
      <c r="BN881" s="66"/>
      <c r="BO881" s="66"/>
      <c r="BP881" s="66"/>
      <c r="BQ881" s="66"/>
      <c r="BR881" s="66"/>
      <c r="BS881" s="66"/>
      <c r="BT881" s="66"/>
      <c r="BU881" s="66"/>
      <c r="BV881" s="66"/>
      <c r="BW881" s="66"/>
    </row>
    <row r="882" ht="21.0" customHeight="1">
      <c r="A882" s="12"/>
      <c r="B882" s="78"/>
      <c r="C882" s="77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6"/>
      <c r="AS882" s="66"/>
      <c r="AT882" s="66"/>
      <c r="AU882" s="66"/>
      <c r="AV882" s="66"/>
      <c r="AW882" s="66"/>
      <c r="AX882" s="66"/>
      <c r="AY882" s="66"/>
      <c r="AZ882" s="66"/>
      <c r="BA882" s="66"/>
      <c r="BB882" s="66"/>
      <c r="BC882" s="66"/>
      <c r="BD882" s="66"/>
      <c r="BE882" s="66"/>
      <c r="BF882" s="66"/>
      <c r="BG882" s="66"/>
      <c r="BH882" s="66"/>
      <c r="BI882" s="66"/>
      <c r="BJ882" s="66"/>
      <c r="BK882" s="66"/>
      <c r="BL882" s="66"/>
      <c r="BM882" s="66"/>
      <c r="BN882" s="66"/>
      <c r="BO882" s="66"/>
      <c r="BP882" s="66"/>
      <c r="BQ882" s="66"/>
      <c r="BR882" s="66"/>
      <c r="BS882" s="66"/>
      <c r="BT882" s="66"/>
      <c r="BU882" s="66"/>
      <c r="BV882" s="66"/>
      <c r="BW882" s="66"/>
    </row>
    <row r="883" ht="21.0" customHeight="1">
      <c r="A883" s="12"/>
      <c r="B883" s="78"/>
      <c r="C883" s="77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  <c r="AP883" s="66"/>
      <c r="AQ883" s="66"/>
      <c r="AR883" s="66"/>
      <c r="AS883" s="66"/>
      <c r="AT883" s="66"/>
      <c r="AU883" s="66"/>
      <c r="AV883" s="66"/>
      <c r="AW883" s="66"/>
      <c r="AX883" s="66"/>
      <c r="AY883" s="66"/>
      <c r="AZ883" s="66"/>
      <c r="BA883" s="66"/>
      <c r="BB883" s="66"/>
      <c r="BC883" s="66"/>
      <c r="BD883" s="66"/>
      <c r="BE883" s="66"/>
      <c r="BF883" s="66"/>
      <c r="BG883" s="66"/>
      <c r="BH883" s="66"/>
      <c r="BI883" s="66"/>
      <c r="BJ883" s="66"/>
      <c r="BK883" s="66"/>
      <c r="BL883" s="66"/>
      <c r="BM883" s="66"/>
      <c r="BN883" s="66"/>
      <c r="BO883" s="66"/>
      <c r="BP883" s="66"/>
      <c r="BQ883" s="66"/>
      <c r="BR883" s="66"/>
      <c r="BS883" s="66"/>
      <c r="BT883" s="66"/>
      <c r="BU883" s="66"/>
      <c r="BV883" s="66"/>
      <c r="BW883" s="66"/>
    </row>
    <row r="884" ht="21.0" customHeight="1">
      <c r="A884" s="12"/>
      <c r="B884" s="78"/>
      <c r="C884" s="77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  <c r="AQ884" s="66"/>
      <c r="AR884" s="66"/>
      <c r="AS884" s="66"/>
      <c r="AT884" s="66"/>
      <c r="AU884" s="66"/>
      <c r="AV884" s="66"/>
      <c r="AW884" s="66"/>
      <c r="AX884" s="66"/>
      <c r="AY884" s="66"/>
      <c r="AZ884" s="66"/>
      <c r="BA884" s="66"/>
      <c r="BB884" s="66"/>
      <c r="BC884" s="66"/>
      <c r="BD884" s="66"/>
      <c r="BE884" s="66"/>
      <c r="BF884" s="66"/>
      <c r="BG884" s="66"/>
      <c r="BH884" s="66"/>
      <c r="BI884" s="66"/>
      <c r="BJ884" s="66"/>
      <c r="BK884" s="66"/>
      <c r="BL884" s="66"/>
      <c r="BM884" s="66"/>
      <c r="BN884" s="66"/>
      <c r="BO884" s="66"/>
      <c r="BP884" s="66"/>
      <c r="BQ884" s="66"/>
      <c r="BR884" s="66"/>
      <c r="BS884" s="66"/>
      <c r="BT884" s="66"/>
      <c r="BU884" s="66"/>
      <c r="BV884" s="66"/>
      <c r="BW884" s="66"/>
    </row>
    <row r="885" ht="21.0" customHeight="1">
      <c r="A885" s="12"/>
      <c r="B885" s="78"/>
      <c r="C885" s="77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  <c r="AP885" s="66"/>
      <c r="AQ885" s="66"/>
      <c r="AR885" s="66"/>
      <c r="AS885" s="66"/>
      <c r="AT885" s="66"/>
      <c r="AU885" s="66"/>
      <c r="AV885" s="66"/>
      <c r="AW885" s="66"/>
      <c r="AX885" s="66"/>
      <c r="AY885" s="66"/>
      <c r="AZ885" s="66"/>
      <c r="BA885" s="66"/>
      <c r="BB885" s="66"/>
      <c r="BC885" s="66"/>
      <c r="BD885" s="66"/>
      <c r="BE885" s="66"/>
      <c r="BF885" s="66"/>
      <c r="BG885" s="66"/>
      <c r="BH885" s="66"/>
      <c r="BI885" s="66"/>
      <c r="BJ885" s="66"/>
      <c r="BK885" s="66"/>
      <c r="BL885" s="66"/>
      <c r="BM885" s="66"/>
      <c r="BN885" s="66"/>
      <c r="BO885" s="66"/>
      <c r="BP885" s="66"/>
      <c r="BQ885" s="66"/>
      <c r="BR885" s="66"/>
      <c r="BS885" s="66"/>
      <c r="BT885" s="66"/>
      <c r="BU885" s="66"/>
      <c r="BV885" s="66"/>
      <c r="BW885" s="66"/>
    </row>
    <row r="886" ht="21.0" customHeight="1">
      <c r="A886" s="12"/>
      <c r="B886" s="78"/>
      <c r="C886" s="77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  <c r="AP886" s="66"/>
      <c r="AQ886" s="66"/>
      <c r="AR886" s="66"/>
      <c r="AS886" s="66"/>
      <c r="AT886" s="66"/>
      <c r="AU886" s="66"/>
      <c r="AV886" s="66"/>
      <c r="AW886" s="66"/>
      <c r="AX886" s="66"/>
      <c r="AY886" s="66"/>
      <c r="AZ886" s="66"/>
      <c r="BA886" s="66"/>
      <c r="BB886" s="66"/>
      <c r="BC886" s="66"/>
      <c r="BD886" s="66"/>
      <c r="BE886" s="66"/>
      <c r="BF886" s="66"/>
      <c r="BG886" s="66"/>
      <c r="BH886" s="66"/>
      <c r="BI886" s="66"/>
      <c r="BJ886" s="66"/>
      <c r="BK886" s="66"/>
      <c r="BL886" s="66"/>
      <c r="BM886" s="66"/>
      <c r="BN886" s="66"/>
      <c r="BO886" s="66"/>
      <c r="BP886" s="66"/>
      <c r="BQ886" s="66"/>
      <c r="BR886" s="66"/>
      <c r="BS886" s="66"/>
      <c r="BT886" s="66"/>
      <c r="BU886" s="66"/>
      <c r="BV886" s="66"/>
      <c r="BW886" s="66"/>
    </row>
    <row r="887" ht="21.0" customHeight="1">
      <c r="A887" s="12"/>
      <c r="B887" s="78"/>
      <c r="C887" s="77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  <c r="AP887" s="66"/>
      <c r="AQ887" s="66"/>
      <c r="AR887" s="66"/>
      <c r="AS887" s="66"/>
      <c r="AT887" s="66"/>
      <c r="AU887" s="66"/>
      <c r="AV887" s="66"/>
      <c r="AW887" s="66"/>
      <c r="AX887" s="66"/>
      <c r="AY887" s="66"/>
      <c r="AZ887" s="66"/>
      <c r="BA887" s="66"/>
      <c r="BB887" s="66"/>
      <c r="BC887" s="66"/>
      <c r="BD887" s="66"/>
      <c r="BE887" s="66"/>
      <c r="BF887" s="66"/>
      <c r="BG887" s="66"/>
      <c r="BH887" s="66"/>
      <c r="BI887" s="66"/>
      <c r="BJ887" s="66"/>
      <c r="BK887" s="66"/>
      <c r="BL887" s="66"/>
      <c r="BM887" s="66"/>
      <c r="BN887" s="66"/>
      <c r="BO887" s="66"/>
      <c r="BP887" s="66"/>
      <c r="BQ887" s="66"/>
      <c r="BR887" s="66"/>
      <c r="BS887" s="66"/>
      <c r="BT887" s="66"/>
      <c r="BU887" s="66"/>
      <c r="BV887" s="66"/>
      <c r="BW887" s="66"/>
    </row>
    <row r="888" ht="21.0" customHeight="1">
      <c r="A888" s="12"/>
      <c r="B888" s="78"/>
      <c r="C888" s="77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  <c r="AR888" s="66"/>
      <c r="AS888" s="66"/>
      <c r="AT888" s="66"/>
      <c r="AU888" s="66"/>
      <c r="AV888" s="66"/>
      <c r="AW888" s="66"/>
      <c r="AX888" s="66"/>
      <c r="AY888" s="66"/>
      <c r="AZ888" s="66"/>
      <c r="BA888" s="66"/>
      <c r="BB888" s="66"/>
      <c r="BC888" s="66"/>
      <c r="BD888" s="66"/>
      <c r="BE888" s="66"/>
      <c r="BF888" s="66"/>
      <c r="BG888" s="66"/>
      <c r="BH888" s="66"/>
      <c r="BI888" s="66"/>
      <c r="BJ888" s="66"/>
      <c r="BK888" s="66"/>
      <c r="BL888" s="66"/>
      <c r="BM888" s="66"/>
      <c r="BN888" s="66"/>
      <c r="BO888" s="66"/>
      <c r="BP888" s="66"/>
      <c r="BQ888" s="66"/>
      <c r="BR888" s="66"/>
      <c r="BS888" s="66"/>
      <c r="BT888" s="66"/>
      <c r="BU888" s="66"/>
      <c r="BV888" s="66"/>
      <c r="BW888" s="66"/>
    </row>
    <row r="889" ht="21.0" customHeight="1">
      <c r="A889" s="12"/>
      <c r="B889" s="78"/>
      <c r="C889" s="77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  <c r="AP889" s="66"/>
      <c r="AQ889" s="66"/>
      <c r="AR889" s="66"/>
      <c r="AS889" s="66"/>
      <c r="AT889" s="66"/>
      <c r="AU889" s="66"/>
      <c r="AV889" s="66"/>
      <c r="AW889" s="66"/>
      <c r="AX889" s="66"/>
      <c r="AY889" s="66"/>
      <c r="AZ889" s="66"/>
      <c r="BA889" s="66"/>
      <c r="BB889" s="66"/>
      <c r="BC889" s="66"/>
      <c r="BD889" s="66"/>
      <c r="BE889" s="66"/>
      <c r="BF889" s="66"/>
      <c r="BG889" s="66"/>
      <c r="BH889" s="66"/>
      <c r="BI889" s="66"/>
      <c r="BJ889" s="66"/>
      <c r="BK889" s="66"/>
      <c r="BL889" s="66"/>
      <c r="BM889" s="66"/>
      <c r="BN889" s="66"/>
      <c r="BO889" s="66"/>
      <c r="BP889" s="66"/>
      <c r="BQ889" s="66"/>
      <c r="BR889" s="66"/>
      <c r="BS889" s="66"/>
      <c r="BT889" s="66"/>
      <c r="BU889" s="66"/>
      <c r="BV889" s="66"/>
      <c r="BW889" s="66"/>
    </row>
    <row r="890" ht="21.0" customHeight="1">
      <c r="A890" s="12"/>
      <c r="B890" s="78"/>
      <c r="C890" s="77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  <c r="AP890" s="66"/>
      <c r="AQ890" s="66"/>
      <c r="AR890" s="66"/>
      <c r="AS890" s="66"/>
      <c r="AT890" s="66"/>
      <c r="AU890" s="66"/>
      <c r="AV890" s="66"/>
      <c r="AW890" s="66"/>
      <c r="AX890" s="66"/>
      <c r="AY890" s="66"/>
      <c r="AZ890" s="66"/>
      <c r="BA890" s="66"/>
      <c r="BB890" s="66"/>
      <c r="BC890" s="66"/>
      <c r="BD890" s="66"/>
      <c r="BE890" s="66"/>
      <c r="BF890" s="66"/>
      <c r="BG890" s="66"/>
      <c r="BH890" s="66"/>
      <c r="BI890" s="66"/>
      <c r="BJ890" s="66"/>
      <c r="BK890" s="66"/>
      <c r="BL890" s="66"/>
      <c r="BM890" s="66"/>
      <c r="BN890" s="66"/>
      <c r="BO890" s="66"/>
      <c r="BP890" s="66"/>
      <c r="BQ890" s="66"/>
      <c r="BR890" s="66"/>
      <c r="BS890" s="66"/>
      <c r="BT890" s="66"/>
      <c r="BU890" s="66"/>
      <c r="BV890" s="66"/>
      <c r="BW890" s="66"/>
    </row>
    <row r="891" ht="21.0" customHeight="1">
      <c r="A891" s="12"/>
      <c r="B891" s="78"/>
      <c r="C891" s="77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  <c r="AP891" s="66"/>
      <c r="AQ891" s="66"/>
      <c r="AR891" s="66"/>
      <c r="AS891" s="66"/>
      <c r="AT891" s="66"/>
      <c r="AU891" s="66"/>
      <c r="AV891" s="66"/>
      <c r="AW891" s="66"/>
      <c r="AX891" s="66"/>
      <c r="AY891" s="66"/>
      <c r="AZ891" s="66"/>
      <c r="BA891" s="66"/>
      <c r="BB891" s="66"/>
      <c r="BC891" s="66"/>
      <c r="BD891" s="66"/>
      <c r="BE891" s="66"/>
      <c r="BF891" s="66"/>
      <c r="BG891" s="66"/>
      <c r="BH891" s="66"/>
      <c r="BI891" s="66"/>
      <c r="BJ891" s="66"/>
      <c r="BK891" s="66"/>
      <c r="BL891" s="66"/>
      <c r="BM891" s="66"/>
      <c r="BN891" s="66"/>
      <c r="BO891" s="66"/>
      <c r="BP891" s="66"/>
      <c r="BQ891" s="66"/>
      <c r="BR891" s="66"/>
      <c r="BS891" s="66"/>
      <c r="BT891" s="66"/>
      <c r="BU891" s="66"/>
      <c r="BV891" s="66"/>
      <c r="BW891" s="66"/>
    </row>
    <row r="892" ht="21.0" customHeight="1">
      <c r="A892" s="12"/>
      <c r="B892" s="78"/>
      <c r="C892" s="77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  <c r="AP892" s="66"/>
      <c r="AQ892" s="66"/>
      <c r="AR892" s="66"/>
      <c r="AS892" s="66"/>
      <c r="AT892" s="66"/>
      <c r="AU892" s="66"/>
      <c r="AV892" s="66"/>
      <c r="AW892" s="66"/>
      <c r="AX892" s="66"/>
      <c r="AY892" s="66"/>
      <c r="AZ892" s="66"/>
      <c r="BA892" s="66"/>
      <c r="BB892" s="66"/>
      <c r="BC892" s="66"/>
      <c r="BD892" s="66"/>
      <c r="BE892" s="66"/>
      <c r="BF892" s="66"/>
      <c r="BG892" s="66"/>
      <c r="BH892" s="66"/>
      <c r="BI892" s="66"/>
      <c r="BJ892" s="66"/>
      <c r="BK892" s="66"/>
      <c r="BL892" s="66"/>
      <c r="BM892" s="66"/>
      <c r="BN892" s="66"/>
      <c r="BO892" s="66"/>
      <c r="BP892" s="66"/>
      <c r="BQ892" s="66"/>
      <c r="BR892" s="66"/>
      <c r="BS892" s="66"/>
      <c r="BT892" s="66"/>
      <c r="BU892" s="66"/>
      <c r="BV892" s="66"/>
      <c r="BW892" s="66"/>
    </row>
    <row r="893" ht="21.0" customHeight="1">
      <c r="A893" s="12"/>
      <c r="B893" s="78"/>
      <c r="C893" s="77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  <c r="AP893" s="66"/>
      <c r="AQ893" s="66"/>
      <c r="AR893" s="66"/>
      <c r="AS893" s="66"/>
      <c r="AT893" s="66"/>
      <c r="AU893" s="66"/>
      <c r="AV893" s="66"/>
      <c r="AW893" s="66"/>
      <c r="AX893" s="66"/>
      <c r="AY893" s="66"/>
      <c r="AZ893" s="66"/>
      <c r="BA893" s="66"/>
      <c r="BB893" s="66"/>
      <c r="BC893" s="66"/>
      <c r="BD893" s="66"/>
      <c r="BE893" s="66"/>
      <c r="BF893" s="66"/>
      <c r="BG893" s="66"/>
      <c r="BH893" s="66"/>
      <c r="BI893" s="66"/>
      <c r="BJ893" s="66"/>
      <c r="BK893" s="66"/>
      <c r="BL893" s="66"/>
      <c r="BM893" s="66"/>
      <c r="BN893" s="66"/>
      <c r="BO893" s="66"/>
      <c r="BP893" s="66"/>
      <c r="BQ893" s="66"/>
      <c r="BR893" s="66"/>
      <c r="BS893" s="66"/>
      <c r="BT893" s="66"/>
      <c r="BU893" s="66"/>
      <c r="BV893" s="66"/>
      <c r="BW893" s="66"/>
    </row>
    <row r="894" ht="21.0" customHeight="1">
      <c r="A894" s="12"/>
      <c r="B894" s="78"/>
      <c r="C894" s="77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  <c r="AS894" s="66"/>
      <c r="AT894" s="66"/>
      <c r="AU894" s="66"/>
      <c r="AV894" s="66"/>
      <c r="AW894" s="66"/>
      <c r="AX894" s="66"/>
      <c r="AY894" s="66"/>
      <c r="AZ894" s="66"/>
      <c r="BA894" s="66"/>
      <c r="BB894" s="66"/>
      <c r="BC894" s="66"/>
      <c r="BD894" s="66"/>
      <c r="BE894" s="66"/>
      <c r="BF894" s="66"/>
      <c r="BG894" s="66"/>
      <c r="BH894" s="66"/>
      <c r="BI894" s="66"/>
      <c r="BJ894" s="66"/>
      <c r="BK894" s="66"/>
      <c r="BL894" s="66"/>
      <c r="BM894" s="66"/>
      <c r="BN894" s="66"/>
      <c r="BO894" s="66"/>
      <c r="BP894" s="66"/>
      <c r="BQ894" s="66"/>
      <c r="BR894" s="66"/>
      <c r="BS894" s="66"/>
      <c r="BT894" s="66"/>
      <c r="BU894" s="66"/>
      <c r="BV894" s="66"/>
      <c r="BW894" s="66"/>
    </row>
    <row r="895" ht="21.0" customHeight="1">
      <c r="A895" s="12"/>
      <c r="B895" s="78"/>
      <c r="C895" s="77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  <c r="AP895" s="66"/>
      <c r="AQ895" s="66"/>
      <c r="AR895" s="66"/>
      <c r="AS895" s="66"/>
      <c r="AT895" s="66"/>
      <c r="AU895" s="66"/>
      <c r="AV895" s="66"/>
      <c r="AW895" s="66"/>
      <c r="AX895" s="66"/>
      <c r="AY895" s="66"/>
      <c r="AZ895" s="66"/>
      <c r="BA895" s="66"/>
      <c r="BB895" s="66"/>
      <c r="BC895" s="66"/>
      <c r="BD895" s="66"/>
      <c r="BE895" s="66"/>
      <c r="BF895" s="66"/>
      <c r="BG895" s="66"/>
      <c r="BH895" s="66"/>
      <c r="BI895" s="66"/>
      <c r="BJ895" s="66"/>
      <c r="BK895" s="66"/>
      <c r="BL895" s="66"/>
      <c r="BM895" s="66"/>
      <c r="BN895" s="66"/>
      <c r="BO895" s="66"/>
      <c r="BP895" s="66"/>
      <c r="BQ895" s="66"/>
      <c r="BR895" s="66"/>
      <c r="BS895" s="66"/>
      <c r="BT895" s="66"/>
      <c r="BU895" s="66"/>
      <c r="BV895" s="66"/>
      <c r="BW895" s="66"/>
    </row>
    <row r="896" ht="21.0" customHeight="1">
      <c r="A896" s="12"/>
      <c r="B896" s="78"/>
      <c r="C896" s="77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  <c r="AP896" s="66"/>
      <c r="AQ896" s="66"/>
      <c r="AR896" s="66"/>
      <c r="AS896" s="66"/>
      <c r="AT896" s="66"/>
      <c r="AU896" s="66"/>
      <c r="AV896" s="66"/>
      <c r="AW896" s="66"/>
      <c r="AX896" s="66"/>
      <c r="AY896" s="66"/>
      <c r="AZ896" s="66"/>
      <c r="BA896" s="66"/>
      <c r="BB896" s="66"/>
      <c r="BC896" s="66"/>
      <c r="BD896" s="66"/>
      <c r="BE896" s="66"/>
      <c r="BF896" s="66"/>
      <c r="BG896" s="66"/>
      <c r="BH896" s="66"/>
      <c r="BI896" s="66"/>
      <c r="BJ896" s="66"/>
      <c r="BK896" s="66"/>
      <c r="BL896" s="66"/>
      <c r="BM896" s="66"/>
      <c r="BN896" s="66"/>
      <c r="BO896" s="66"/>
      <c r="BP896" s="66"/>
      <c r="BQ896" s="66"/>
      <c r="BR896" s="66"/>
      <c r="BS896" s="66"/>
      <c r="BT896" s="66"/>
      <c r="BU896" s="66"/>
      <c r="BV896" s="66"/>
      <c r="BW896" s="66"/>
    </row>
    <row r="897" ht="21.0" customHeight="1">
      <c r="A897" s="12"/>
      <c r="B897" s="78"/>
      <c r="C897" s="77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  <c r="AS897" s="66"/>
      <c r="AT897" s="66"/>
      <c r="AU897" s="66"/>
      <c r="AV897" s="66"/>
      <c r="AW897" s="66"/>
      <c r="AX897" s="66"/>
      <c r="AY897" s="66"/>
      <c r="AZ897" s="66"/>
      <c r="BA897" s="66"/>
      <c r="BB897" s="66"/>
      <c r="BC897" s="66"/>
      <c r="BD897" s="66"/>
      <c r="BE897" s="66"/>
      <c r="BF897" s="66"/>
      <c r="BG897" s="66"/>
      <c r="BH897" s="66"/>
      <c r="BI897" s="66"/>
      <c r="BJ897" s="66"/>
      <c r="BK897" s="66"/>
      <c r="BL897" s="66"/>
      <c r="BM897" s="66"/>
      <c r="BN897" s="66"/>
      <c r="BO897" s="66"/>
      <c r="BP897" s="66"/>
      <c r="BQ897" s="66"/>
      <c r="BR897" s="66"/>
      <c r="BS897" s="66"/>
      <c r="BT897" s="66"/>
      <c r="BU897" s="66"/>
      <c r="BV897" s="66"/>
      <c r="BW897" s="66"/>
    </row>
    <row r="898" ht="21.0" customHeight="1">
      <c r="A898" s="12"/>
      <c r="B898" s="78"/>
      <c r="C898" s="77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  <c r="AP898" s="66"/>
      <c r="AQ898" s="66"/>
      <c r="AR898" s="66"/>
      <c r="AS898" s="66"/>
      <c r="AT898" s="66"/>
      <c r="AU898" s="66"/>
      <c r="AV898" s="66"/>
      <c r="AW898" s="66"/>
      <c r="AX898" s="66"/>
      <c r="AY898" s="66"/>
      <c r="AZ898" s="66"/>
      <c r="BA898" s="66"/>
      <c r="BB898" s="66"/>
      <c r="BC898" s="66"/>
      <c r="BD898" s="66"/>
      <c r="BE898" s="66"/>
      <c r="BF898" s="66"/>
      <c r="BG898" s="66"/>
      <c r="BH898" s="66"/>
      <c r="BI898" s="66"/>
      <c r="BJ898" s="66"/>
      <c r="BK898" s="66"/>
      <c r="BL898" s="66"/>
      <c r="BM898" s="66"/>
      <c r="BN898" s="66"/>
      <c r="BO898" s="66"/>
      <c r="BP898" s="66"/>
      <c r="BQ898" s="66"/>
      <c r="BR898" s="66"/>
      <c r="BS898" s="66"/>
      <c r="BT898" s="66"/>
      <c r="BU898" s="66"/>
      <c r="BV898" s="66"/>
      <c r="BW898" s="66"/>
    </row>
    <row r="899" ht="21.0" customHeight="1">
      <c r="A899" s="12"/>
      <c r="B899" s="78"/>
      <c r="C899" s="77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  <c r="AP899" s="66"/>
      <c r="AQ899" s="66"/>
      <c r="AR899" s="66"/>
      <c r="AS899" s="66"/>
      <c r="AT899" s="66"/>
      <c r="AU899" s="66"/>
      <c r="AV899" s="66"/>
      <c r="AW899" s="66"/>
      <c r="AX899" s="66"/>
      <c r="AY899" s="66"/>
      <c r="AZ899" s="66"/>
      <c r="BA899" s="66"/>
      <c r="BB899" s="66"/>
      <c r="BC899" s="66"/>
      <c r="BD899" s="66"/>
      <c r="BE899" s="66"/>
      <c r="BF899" s="66"/>
      <c r="BG899" s="66"/>
      <c r="BH899" s="66"/>
      <c r="BI899" s="66"/>
      <c r="BJ899" s="66"/>
      <c r="BK899" s="66"/>
      <c r="BL899" s="66"/>
      <c r="BM899" s="66"/>
      <c r="BN899" s="66"/>
      <c r="BO899" s="66"/>
      <c r="BP899" s="66"/>
      <c r="BQ899" s="66"/>
      <c r="BR899" s="66"/>
      <c r="BS899" s="66"/>
      <c r="BT899" s="66"/>
      <c r="BU899" s="66"/>
      <c r="BV899" s="66"/>
      <c r="BW899" s="66"/>
    </row>
    <row r="900" ht="21.0" customHeight="1">
      <c r="A900" s="12"/>
      <c r="B900" s="78"/>
      <c r="C900" s="77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  <c r="AP900" s="66"/>
      <c r="AQ900" s="66"/>
      <c r="AR900" s="66"/>
      <c r="AS900" s="66"/>
      <c r="AT900" s="66"/>
      <c r="AU900" s="66"/>
      <c r="AV900" s="66"/>
      <c r="AW900" s="66"/>
      <c r="AX900" s="66"/>
      <c r="AY900" s="66"/>
      <c r="AZ900" s="66"/>
      <c r="BA900" s="66"/>
      <c r="BB900" s="66"/>
      <c r="BC900" s="66"/>
      <c r="BD900" s="66"/>
      <c r="BE900" s="66"/>
      <c r="BF900" s="66"/>
      <c r="BG900" s="66"/>
      <c r="BH900" s="66"/>
      <c r="BI900" s="66"/>
      <c r="BJ900" s="66"/>
      <c r="BK900" s="66"/>
      <c r="BL900" s="66"/>
      <c r="BM900" s="66"/>
      <c r="BN900" s="66"/>
      <c r="BO900" s="66"/>
      <c r="BP900" s="66"/>
      <c r="BQ900" s="66"/>
      <c r="BR900" s="66"/>
      <c r="BS900" s="66"/>
      <c r="BT900" s="66"/>
      <c r="BU900" s="66"/>
      <c r="BV900" s="66"/>
      <c r="BW900" s="66"/>
    </row>
    <row r="901" ht="21.0" customHeight="1">
      <c r="A901" s="12"/>
      <c r="B901" s="78"/>
      <c r="C901" s="77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  <c r="AP901" s="66"/>
      <c r="AQ901" s="66"/>
      <c r="AR901" s="66"/>
      <c r="AS901" s="66"/>
      <c r="AT901" s="66"/>
      <c r="AU901" s="66"/>
      <c r="AV901" s="66"/>
      <c r="AW901" s="66"/>
      <c r="AX901" s="66"/>
      <c r="AY901" s="66"/>
      <c r="AZ901" s="66"/>
      <c r="BA901" s="66"/>
      <c r="BB901" s="66"/>
      <c r="BC901" s="66"/>
      <c r="BD901" s="66"/>
      <c r="BE901" s="66"/>
      <c r="BF901" s="66"/>
      <c r="BG901" s="66"/>
      <c r="BH901" s="66"/>
      <c r="BI901" s="66"/>
      <c r="BJ901" s="66"/>
      <c r="BK901" s="66"/>
      <c r="BL901" s="66"/>
      <c r="BM901" s="66"/>
      <c r="BN901" s="66"/>
      <c r="BO901" s="66"/>
      <c r="BP901" s="66"/>
      <c r="BQ901" s="66"/>
      <c r="BR901" s="66"/>
      <c r="BS901" s="66"/>
      <c r="BT901" s="66"/>
      <c r="BU901" s="66"/>
      <c r="BV901" s="66"/>
      <c r="BW901" s="66"/>
    </row>
    <row r="902" ht="21.0" customHeight="1">
      <c r="A902" s="12"/>
      <c r="B902" s="78"/>
      <c r="C902" s="77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  <c r="AR902" s="66"/>
      <c r="AS902" s="66"/>
      <c r="AT902" s="66"/>
      <c r="AU902" s="66"/>
      <c r="AV902" s="66"/>
      <c r="AW902" s="66"/>
      <c r="AX902" s="66"/>
      <c r="AY902" s="66"/>
      <c r="AZ902" s="66"/>
      <c r="BA902" s="66"/>
      <c r="BB902" s="66"/>
      <c r="BC902" s="66"/>
      <c r="BD902" s="66"/>
      <c r="BE902" s="66"/>
      <c r="BF902" s="66"/>
      <c r="BG902" s="66"/>
      <c r="BH902" s="66"/>
      <c r="BI902" s="66"/>
      <c r="BJ902" s="66"/>
      <c r="BK902" s="66"/>
      <c r="BL902" s="66"/>
      <c r="BM902" s="66"/>
      <c r="BN902" s="66"/>
      <c r="BO902" s="66"/>
      <c r="BP902" s="66"/>
      <c r="BQ902" s="66"/>
      <c r="BR902" s="66"/>
      <c r="BS902" s="66"/>
      <c r="BT902" s="66"/>
      <c r="BU902" s="66"/>
      <c r="BV902" s="66"/>
      <c r="BW902" s="66"/>
    </row>
    <row r="903" ht="21.0" customHeight="1">
      <c r="A903" s="12"/>
      <c r="B903" s="78"/>
      <c r="C903" s="77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  <c r="AP903" s="66"/>
      <c r="AQ903" s="66"/>
      <c r="AR903" s="66"/>
      <c r="AS903" s="66"/>
      <c r="AT903" s="66"/>
      <c r="AU903" s="66"/>
      <c r="AV903" s="66"/>
      <c r="AW903" s="66"/>
      <c r="AX903" s="66"/>
      <c r="AY903" s="66"/>
      <c r="AZ903" s="66"/>
      <c r="BA903" s="66"/>
      <c r="BB903" s="66"/>
      <c r="BC903" s="66"/>
      <c r="BD903" s="66"/>
      <c r="BE903" s="66"/>
      <c r="BF903" s="66"/>
      <c r="BG903" s="66"/>
      <c r="BH903" s="66"/>
      <c r="BI903" s="66"/>
      <c r="BJ903" s="66"/>
      <c r="BK903" s="66"/>
      <c r="BL903" s="66"/>
      <c r="BM903" s="66"/>
      <c r="BN903" s="66"/>
      <c r="BO903" s="66"/>
      <c r="BP903" s="66"/>
      <c r="BQ903" s="66"/>
      <c r="BR903" s="66"/>
      <c r="BS903" s="66"/>
      <c r="BT903" s="66"/>
      <c r="BU903" s="66"/>
      <c r="BV903" s="66"/>
      <c r="BW903" s="66"/>
    </row>
    <row r="904" ht="21.0" customHeight="1">
      <c r="A904" s="12"/>
      <c r="B904" s="78"/>
      <c r="C904" s="77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  <c r="AR904" s="66"/>
      <c r="AS904" s="66"/>
      <c r="AT904" s="66"/>
      <c r="AU904" s="66"/>
      <c r="AV904" s="66"/>
      <c r="AW904" s="66"/>
      <c r="AX904" s="66"/>
      <c r="AY904" s="66"/>
      <c r="AZ904" s="66"/>
      <c r="BA904" s="66"/>
      <c r="BB904" s="66"/>
      <c r="BC904" s="66"/>
      <c r="BD904" s="66"/>
      <c r="BE904" s="66"/>
      <c r="BF904" s="66"/>
      <c r="BG904" s="66"/>
      <c r="BH904" s="66"/>
      <c r="BI904" s="66"/>
      <c r="BJ904" s="66"/>
      <c r="BK904" s="66"/>
      <c r="BL904" s="66"/>
      <c r="BM904" s="66"/>
      <c r="BN904" s="66"/>
      <c r="BO904" s="66"/>
      <c r="BP904" s="66"/>
      <c r="BQ904" s="66"/>
      <c r="BR904" s="66"/>
      <c r="BS904" s="66"/>
      <c r="BT904" s="66"/>
      <c r="BU904" s="66"/>
      <c r="BV904" s="66"/>
      <c r="BW904" s="66"/>
    </row>
    <row r="905" ht="21.0" customHeight="1">
      <c r="A905" s="12"/>
      <c r="B905" s="78"/>
      <c r="C905" s="77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  <c r="AQ905" s="66"/>
      <c r="AR905" s="66"/>
      <c r="AS905" s="66"/>
      <c r="AT905" s="66"/>
      <c r="AU905" s="66"/>
      <c r="AV905" s="66"/>
      <c r="AW905" s="66"/>
      <c r="AX905" s="66"/>
      <c r="AY905" s="66"/>
      <c r="AZ905" s="66"/>
      <c r="BA905" s="66"/>
      <c r="BB905" s="66"/>
      <c r="BC905" s="66"/>
      <c r="BD905" s="66"/>
      <c r="BE905" s="66"/>
      <c r="BF905" s="66"/>
      <c r="BG905" s="66"/>
      <c r="BH905" s="66"/>
      <c r="BI905" s="66"/>
      <c r="BJ905" s="66"/>
      <c r="BK905" s="66"/>
      <c r="BL905" s="66"/>
      <c r="BM905" s="66"/>
      <c r="BN905" s="66"/>
      <c r="BO905" s="66"/>
      <c r="BP905" s="66"/>
      <c r="BQ905" s="66"/>
      <c r="BR905" s="66"/>
      <c r="BS905" s="66"/>
      <c r="BT905" s="66"/>
      <c r="BU905" s="66"/>
      <c r="BV905" s="66"/>
      <c r="BW905" s="66"/>
    </row>
    <row r="906" ht="21.0" customHeight="1">
      <c r="A906" s="12"/>
      <c r="B906" s="78"/>
      <c r="C906" s="77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  <c r="AR906" s="66"/>
      <c r="AS906" s="66"/>
      <c r="AT906" s="66"/>
      <c r="AU906" s="66"/>
      <c r="AV906" s="66"/>
      <c r="AW906" s="66"/>
      <c r="AX906" s="66"/>
      <c r="AY906" s="66"/>
      <c r="AZ906" s="66"/>
      <c r="BA906" s="66"/>
      <c r="BB906" s="66"/>
      <c r="BC906" s="66"/>
      <c r="BD906" s="66"/>
      <c r="BE906" s="66"/>
      <c r="BF906" s="66"/>
      <c r="BG906" s="66"/>
      <c r="BH906" s="66"/>
      <c r="BI906" s="66"/>
      <c r="BJ906" s="66"/>
      <c r="BK906" s="66"/>
      <c r="BL906" s="66"/>
      <c r="BM906" s="66"/>
      <c r="BN906" s="66"/>
      <c r="BO906" s="66"/>
      <c r="BP906" s="66"/>
      <c r="BQ906" s="66"/>
      <c r="BR906" s="66"/>
      <c r="BS906" s="66"/>
      <c r="BT906" s="66"/>
      <c r="BU906" s="66"/>
      <c r="BV906" s="66"/>
      <c r="BW906" s="66"/>
    </row>
    <row r="907" ht="21.0" customHeight="1">
      <c r="A907" s="12"/>
      <c r="B907" s="78"/>
      <c r="C907" s="77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  <c r="AP907" s="66"/>
      <c r="AQ907" s="66"/>
      <c r="AR907" s="66"/>
      <c r="AS907" s="66"/>
      <c r="AT907" s="66"/>
      <c r="AU907" s="66"/>
      <c r="AV907" s="66"/>
      <c r="AW907" s="66"/>
      <c r="AX907" s="66"/>
      <c r="AY907" s="66"/>
      <c r="AZ907" s="66"/>
      <c r="BA907" s="66"/>
      <c r="BB907" s="66"/>
      <c r="BC907" s="66"/>
      <c r="BD907" s="66"/>
      <c r="BE907" s="66"/>
      <c r="BF907" s="66"/>
      <c r="BG907" s="66"/>
      <c r="BH907" s="66"/>
      <c r="BI907" s="66"/>
      <c r="BJ907" s="66"/>
      <c r="BK907" s="66"/>
      <c r="BL907" s="66"/>
      <c r="BM907" s="66"/>
      <c r="BN907" s="66"/>
      <c r="BO907" s="66"/>
      <c r="BP907" s="66"/>
      <c r="BQ907" s="66"/>
      <c r="BR907" s="66"/>
      <c r="BS907" s="66"/>
      <c r="BT907" s="66"/>
      <c r="BU907" s="66"/>
      <c r="BV907" s="66"/>
      <c r="BW907" s="66"/>
    </row>
    <row r="908" ht="21.0" customHeight="1">
      <c r="A908" s="12"/>
      <c r="B908" s="78"/>
      <c r="C908" s="77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  <c r="AP908" s="66"/>
      <c r="AQ908" s="66"/>
      <c r="AR908" s="66"/>
      <c r="AS908" s="66"/>
      <c r="AT908" s="66"/>
      <c r="AU908" s="66"/>
      <c r="AV908" s="66"/>
      <c r="AW908" s="66"/>
      <c r="AX908" s="66"/>
      <c r="AY908" s="66"/>
      <c r="AZ908" s="66"/>
      <c r="BA908" s="66"/>
      <c r="BB908" s="66"/>
      <c r="BC908" s="66"/>
      <c r="BD908" s="66"/>
      <c r="BE908" s="66"/>
      <c r="BF908" s="66"/>
      <c r="BG908" s="66"/>
      <c r="BH908" s="66"/>
      <c r="BI908" s="66"/>
      <c r="BJ908" s="66"/>
      <c r="BK908" s="66"/>
      <c r="BL908" s="66"/>
      <c r="BM908" s="66"/>
      <c r="BN908" s="66"/>
      <c r="BO908" s="66"/>
      <c r="BP908" s="66"/>
      <c r="BQ908" s="66"/>
      <c r="BR908" s="66"/>
      <c r="BS908" s="66"/>
      <c r="BT908" s="66"/>
      <c r="BU908" s="66"/>
      <c r="BV908" s="66"/>
      <c r="BW908" s="66"/>
    </row>
    <row r="909" ht="21.0" customHeight="1">
      <c r="A909" s="12"/>
      <c r="B909" s="78"/>
      <c r="C909" s="77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  <c r="AR909" s="66"/>
      <c r="AS909" s="66"/>
      <c r="AT909" s="66"/>
      <c r="AU909" s="66"/>
      <c r="AV909" s="66"/>
      <c r="AW909" s="66"/>
      <c r="AX909" s="66"/>
      <c r="AY909" s="66"/>
      <c r="AZ909" s="66"/>
      <c r="BA909" s="66"/>
      <c r="BB909" s="66"/>
      <c r="BC909" s="66"/>
      <c r="BD909" s="66"/>
      <c r="BE909" s="66"/>
      <c r="BF909" s="66"/>
      <c r="BG909" s="66"/>
      <c r="BH909" s="66"/>
      <c r="BI909" s="66"/>
      <c r="BJ909" s="66"/>
      <c r="BK909" s="66"/>
      <c r="BL909" s="66"/>
      <c r="BM909" s="66"/>
      <c r="BN909" s="66"/>
      <c r="BO909" s="66"/>
      <c r="BP909" s="66"/>
      <c r="BQ909" s="66"/>
      <c r="BR909" s="66"/>
      <c r="BS909" s="66"/>
      <c r="BT909" s="66"/>
      <c r="BU909" s="66"/>
      <c r="BV909" s="66"/>
      <c r="BW909" s="66"/>
    </row>
    <row r="910" ht="21.0" customHeight="1">
      <c r="A910" s="12"/>
      <c r="B910" s="78"/>
      <c r="C910" s="77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  <c r="AR910" s="66"/>
      <c r="AS910" s="66"/>
      <c r="AT910" s="66"/>
      <c r="AU910" s="66"/>
      <c r="AV910" s="66"/>
      <c r="AW910" s="66"/>
      <c r="AX910" s="66"/>
      <c r="AY910" s="66"/>
      <c r="AZ910" s="66"/>
      <c r="BA910" s="66"/>
      <c r="BB910" s="66"/>
      <c r="BC910" s="66"/>
      <c r="BD910" s="66"/>
      <c r="BE910" s="66"/>
      <c r="BF910" s="66"/>
      <c r="BG910" s="66"/>
      <c r="BH910" s="66"/>
      <c r="BI910" s="66"/>
      <c r="BJ910" s="66"/>
      <c r="BK910" s="66"/>
      <c r="BL910" s="66"/>
      <c r="BM910" s="66"/>
      <c r="BN910" s="66"/>
      <c r="BO910" s="66"/>
      <c r="BP910" s="66"/>
      <c r="BQ910" s="66"/>
      <c r="BR910" s="66"/>
      <c r="BS910" s="66"/>
      <c r="BT910" s="66"/>
      <c r="BU910" s="66"/>
      <c r="BV910" s="66"/>
      <c r="BW910" s="66"/>
    </row>
    <row r="911" ht="21.0" customHeight="1">
      <c r="A911" s="12"/>
      <c r="B911" s="78"/>
      <c r="C911" s="77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  <c r="AQ911" s="66"/>
      <c r="AR911" s="66"/>
      <c r="AS911" s="66"/>
      <c r="AT911" s="66"/>
      <c r="AU911" s="66"/>
      <c r="AV911" s="66"/>
      <c r="AW911" s="66"/>
      <c r="AX911" s="66"/>
      <c r="AY911" s="66"/>
      <c r="AZ911" s="66"/>
      <c r="BA911" s="66"/>
      <c r="BB911" s="66"/>
      <c r="BC911" s="66"/>
      <c r="BD911" s="66"/>
      <c r="BE911" s="66"/>
      <c r="BF911" s="66"/>
      <c r="BG911" s="66"/>
      <c r="BH911" s="66"/>
      <c r="BI911" s="66"/>
      <c r="BJ911" s="66"/>
      <c r="BK911" s="66"/>
      <c r="BL911" s="66"/>
      <c r="BM911" s="66"/>
      <c r="BN911" s="66"/>
      <c r="BO911" s="66"/>
      <c r="BP911" s="66"/>
      <c r="BQ911" s="66"/>
      <c r="BR911" s="66"/>
      <c r="BS911" s="66"/>
      <c r="BT911" s="66"/>
      <c r="BU911" s="66"/>
      <c r="BV911" s="66"/>
      <c r="BW911" s="66"/>
    </row>
    <row r="912" ht="21.0" customHeight="1">
      <c r="A912" s="12"/>
      <c r="B912" s="78"/>
      <c r="C912" s="77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  <c r="AQ912" s="66"/>
      <c r="AR912" s="66"/>
      <c r="AS912" s="66"/>
      <c r="AT912" s="66"/>
      <c r="AU912" s="66"/>
      <c r="AV912" s="66"/>
      <c r="AW912" s="66"/>
      <c r="AX912" s="66"/>
      <c r="AY912" s="66"/>
      <c r="AZ912" s="66"/>
      <c r="BA912" s="66"/>
      <c r="BB912" s="66"/>
      <c r="BC912" s="66"/>
      <c r="BD912" s="66"/>
      <c r="BE912" s="66"/>
      <c r="BF912" s="66"/>
      <c r="BG912" s="66"/>
      <c r="BH912" s="66"/>
      <c r="BI912" s="66"/>
      <c r="BJ912" s="66"/>
      <c r="BK912" s="66"/>
      <c r="BL912" s="66"/>
      <c r="BM912" s="66"/>
      <c r="BN912" s="66"/>
      <c r="BO912" s="66"/>
      <c r="BP912" s="66"/>
      <c r="BQ912" s="66"/>
      <c r="BR912" s="66"/>
      <c r="BS912" s="66"/>
      <c r="BT912" s="66"/>
      <c r="BU912" s="66"/>
      <c r="BV912" s="66"/>
      <c r="BW912" s="66"/>
    </row>
    <row r="913" ht="21.0" customHeight="1">
      <c r="A913" s="12"/>
      <c r="B913" s="78"/>
      <c r="C913" s="77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  <c r="AP913" s="66"/>
      <c r="AQ913" s="66"/>
      <c r="AR913" s="66"/>
      <c r="AS913" s="66"/>
      <c r="AT913" s="66"/>
      <c r="AU913" s="66"/>
      <c r="AV913" s="66"/>
      <c r="AW913" s="66"/>
      <c r="AX913" s="66"/>
      <c r="AY913" s="66"/>
      <c r="AZ913" s="66"/>
      <c r="BA913" s="66"/>
      <c r="BB913" s="66"/>
      <c r="BC913" s="66"/>
      <c r="BD913" s="66"/>
      <c r="BE913" s="66"/>
      <c r="BF913" s="66"/>
      <c r="BG913" s="66"/>
      <c r="BH913" s="66"/>
      <c r="BI913" s="66"/>
      <c r="BJ913" s="66"/>
      <c r="BK913" s="66"/>
      <c r="BL913" s="66"/>
      <c r="BM913" s="66"/>
      <c r="BN913" s="66"/>
      <c r="BO913" s="66"/>
      <c r="BP913" s="66"/>
      <c r="BQ913" s="66"/>
      <c r="BR913" s="66"/>
      <c r="BS913" s="66"/>
      <c r="BT913" s="66"/>
      <c r="BU913" s="66"/>
      <c r="BV913" s="66"/>
      <c r="BW913" s="66"/>
    </row>
    <row r="914" ht="21.0" customHeight="1">
      <c r="A914" s="12"/>
      <c r="B914" s="78"/>
      <c r="C914" s="77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  <c r="AQ914" s="66"/>
      <c r="AR914" s="66"/>
      <c r="AS914" s="66"/>
      <c r="AT914" s="66"/>
      <c r="AU914" s="66"/>
      <c r="AV914" s="66"/>
      <c r="AW914" s="66"/>
      <c r="AX914" s="66"/>
      <c r="AY914" s="66"/>
      <c r="AZ914" s="66"/>
      <c r="BA914" s="66"/>
      <c r="BB914" s="66"/>
      <c r="BC914" s="66"/>
      <c r="BD914" s="66"/>
      <c r="BE914" s="66"/>
      <c r="BF914" s="66"/>
      <c r="BG914" s="66"/>
      <c r="BH914" s="66"/>
      <c r="BI914" s="66"/>
      <c r="BJ914" s="66"/>
      <c r="BK914" s="66"/>
      <c r="BL914" s="66"/>
      <c r="BM914" s="66"/>
      <c r="BN914" s="66"/>
      <c r="BO914" s="66"/>
      <c r="BP914" s="66"/>
      <c r="BQ914" s="66"/>
      <c r="BR914" s="66"/>
      <c r="BS914" s="66"/>
      <c r="BT914" s="66"/>
      <c r="BU914" s="66"/>
      <c r="BV914" s="66"/>
      <c r="BW914" s="66"/>
    </row>
    <row r="915" ht="21.0" customHeight="1">
      <c r="A915" s="12"/>
      <c r="B915" s="78"/>
      <c r="C915" s="77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  <c r="AR915" s="66"/>
      <c r="AS915" s="66"/>
      <c r="AT915" s="66"/>
      <c r="AU915" s="66"/>
      <c r="AV915" s="66"/>
      <c r="AW915" s="66"/>
      <c r="AX915" s="66"/>
      <c r="AY915" s="66"/>
      <c r="AZ915" s="66"/>
      <c r="BA915" s="66"/>
      <c r="BB915" s="66"/>
      <c r="BC915" s="66"/>
      <c r="BD915" s="66"/>
      <c r="BE915" s="66"/>
      <c r="BF915" s="66"/>
      <c r="BG915" s="66"/>
      <c r="BH915" s="66"/>
      <c r="BI915" s="66"/>
      <c r="BJ915" s="66"/>
      <c r="BK915" s="66"/>
      <c r="BL915" s="66"/>
      <c r="BM915" s="66"/>
      <c r="BN915" s="66"/>
      <c r="BO915" s="66"/>
      <c r="BP915" s="66"/>
      <c r="BQ915" s="66"/>
      <c r="BR915" s="66"/>
      <c r="BS915" s="66"/>
      <c r="BT915" s="66"/>
      <c r="BU915" s="66"/>
      <c r="BV915" s="66"/>
      <c r="BW915" s="66"/>
    </row>
    <row r="916" ht="21.0" customHeight="1">
      <c r="A916" s="12"/>
      <c r="B916" s="78"/>
      <c r="C916" s="77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  <c r="AP916" s="66"/>
      <c r="AQ916" s="66"/>
      <c r="AR916" s="66"/>
      <c r="AS916" s="66"/>
      <c r="AT916" s="66"/>
      <c r="AU916" s="66"/>
      <c r="AV916" s="66"/>
      <c r="AW916" s="66"/>
      <c r="AX916" s="66"/>
      <c r="AY916" s="66"/>
      <c r="AZ916" s="66"/>
      <c r="BA916" s="66"/>
      <c r="BB916" s="66"/>
      <c r="BC916" s="66"/>
      <c r="BD916" s="66"/>
      <c r="BE916" s="66"/>
      <c r="BF916" s="66"/>
      <c r="BG916" s="66"/>
      <c r="BH916" s="66"/>
      <c r="BI916" s="66"/>
      <c r="BJ916" s="66"/>
      <c r="BK916" s="66"/>
      <c r="BL916" s="66"/>
      <c r="BM916" s="66"/>
      <c r="BN916" s="66"/>
      <c r="BO916" s="66"/>
      <c r="BP916" s="66"/>
      <c r="BQ916" s="66"/>
      <c r="BR916" s="66"/>
      <c r="BS916" s="66"/>
      <c r="BT916" s="66"/>
      <c r="BU916" s="66"/>
      <c r="BV916" s="66"/>
      <c r="BW916" s="66"/>
    </row>
    <row r="917" ht="21.0" customHeight="1">
      <c r="A917" s="12"/>
      <c r="B917" s="78"/>
      <c r="C917" s="77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  <c r="AR917" s="66"/>
      <c r="AS917" s="66"/>
      <c r="AT917" s="66"/>
      <c r="AU917" s="66"/>
      <c r="AV917" s="66"/>
      <c r="AW917" s="66"/>
      <c r="AX917" s="66"/>
      <c r="AY917" s="66"/>
      <c r="AZ917" s="66"/>
      <c r="BA917" s="66"/>
      <c r="BB917" s="66"/>
      <c r="BC917" s="66"/>
      <c r="BD917" s="66"/>
      <c r="BE917" s="66"/>
      <c r="BF917" s="66"/>
      <c r="BG917" s="66"/>
      <c r="BH917" s="66"/>
      <c r="BI917" s="66"/>
      <c r="BJ917" s="66"/>
      <c r="BK917" s="66"/>
      <c r="BL917" s="66"/>
      <c r="BM917" s="66"/>
      <c r="BN917" s="66"/>
      <c r="BO917" s="66"/>
      <c r="BP917" s="66"/>
      <c r="BQ917" s="66"/>
      <c r="BR917" s="66"/>
      <c r="BS917" s="66"/>
      <c r="BT917" s="66"/>
      <c r="BU917" s="66"/>
      <c r="BV917" s="66"/>
      <c r="BW917" s="66"/>
    </row>
    <row r="918" ht="21.0" customHeight="1">
      <c r="A918" s="12"/>
      <c r="B918" s="78"/>
      <c r="C918" s="77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  <c r="AR918" s="66"/>
      <c r="AS918" s="66"/>
      <c r="AT918" s="66"/>
      <c r="AU918" s="66"/>
      <c r="AV918" s="66"/>
      <c r="AW918" s="66"/>
      <c r="AX918" s="66"/>
      <c r="AY918" s="66"/>
      <c r="AZ918" s="66"/>
      <c r="BA918" s="66"/>
      <c r="BB918" s="66"/>
      <c r="BC918" s="66"/>
      <c r="BD918" s="66"/>
      <c r="BE918" s="66"/>
      <c r="BF918" s="66"/>
      <c r="BG918" s="66"/>
      <c r="BH918" s="66"/>
      <c r="BI918" s="66"/>
      <c r="BJ918" s="66"/>
      <c r="BK918" s="66"/>
      <c r="BL918" s="66"/>
      <c r="BM918" s="66"/>
      <c r="BN918" s="66"/>
      <c r="BO918" s="66"/>
      <c r="BP918" s="66"/>
      <c r="BQ918" s="66"/>
      <c r="BR918" s="66"/>
      <c r="BS918" s="66"/>
      <c r="BT918" s="66"/>
      <c r="BU918" s="66"/>
      <c r="BV918" s="66"/>
      <c r="BW918" s="66"/>
    </row>
    <row r="919" ht="21.0" customHeight="1">
      <c r="A919" s="12"/>
      <c r="B919" s="78"/>
      <c r="C919" s="77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  <c r="AR919" s="66"/>
      <c r="AS919" s="66"/>
      <c r="AT919" s="66"/>
      <c r="AU919" s="66"/>
      <c r="AV919" s="66"/>
      <c r="AW919" s="66"/>
      <c r="AX919" s="66"/>
      <c r="AY919" s="66"/>
      <c r="AZ919" s="66"/>
      <c r="BA919" s="66"/>
      <c r="BB919" s="66"/>
      <c r="BC919" s="66"/>
      <c r="BD919" s="66"/>
      <c r="BE919" s="66"/>
      <c r="BF919" s="66"/>
      <c r="BG919" s="66"/>
      <c r="BH919" s="66"/>
      <c r="BI919" s="66"/>
      <c r="BJ919" s="66"/>
      <c r="BK919" s="66"/>
      <c r="BL919" s="66"/>
      <c r="BM919" s="66"/>
      <c r="BN919" s="66"/>
      <c r="BO919" s="66"/>
      <c r="BP919" s="66"/>
      <c r="BQ919" s="66"/>
      <c r="BR919" s="66"/>
      <c r="BS919" s="66"/>
      <c r="BT919" s="66"/>
      <c r="BU919" s="66"/>
      <c r="BV919" s="66"/>
      <c r="BW919" s="66"/>
    </row>
    <row r="920" ht="21.0" customHeight="1">
      <c r="A920" s="12"/>
      <c r="B920" s="78"/>
      <c r="C920" s="77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  <c r="AR920" s="66"/>
      <c r="AS920" s="66"/>
      <c r="AT920" s="66"/>
      <c r="AU920" s="66"/>
      <c r="AV920" s="66"/>
      <c r="AW920" s="66"/>
      <c r="AX920" s="66"/>
      <c r="AY920" s="66"/>
      <c r="AZ920" s="66"/>
      <c r="BA920" s="66"/>
      <c r="BB920" s="66"/>
      <c r="BC920" s="66"/>
      <c r="BD920" s="66"/>
      <c r="BE920" s="66"/>
      <c r="BF920" s="66"/>
      <c r="BG920" s="66"/>
      <c r="BH920" s="66"/>
      <c r="BI920" s="66"/>
      <c r="BJ920" s="66"/>
      <c r="BK920" s="66"/>
      <c r="BL920" s="66"/>
      <c r="BM920" s="66"/>
      <c r="BN920" s="66"/>
      <c r="BO920" s="66"/>
      <c r="BP920" s="66"/>
      <c r="BQ920" s="66"/>
      <c r="BR920" s="66"/>
      <c r="BS920" s="66"/>
      <c r="BT920" s="66"/>
      <c r="BU920" s="66"/>
      <c r="BV920" s="66"/>
      <c r="BW920" s="66"/>
    </row>
    <row r="921" ht="21.0" customHeight="1">
      <c r="A921" s="12"/>
      <c r="B921" s="78"/>
      <c r="C921" s="77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6"/>
      <c r="AS921" s="66"/>
      <c r="AT921" s="66"/>
      <c r="AU921" s="66"/>
      <c r="AV921" s="66"/>
      <c r="AW921" s="66"/>
      <c r="AX921" s="66"/>
      <c r="AY921" s="66"/>
      <c r="AZ921" s="66"/>
      <c r="BA921" s="66"/>
      <c r="BB921" s="66"/>
      <c r="BC921" s="66"/>
      <c r="BD921" s="66"/>
      <c r="BE921" s="66"/>
      <c r="BF921" s="66"/>
      <c r="BG921" s="66"/>
      <c r="BH921" s="66"/>
      <c r="BI921" s="66"/>
      <c r="BJ921" s="66"/>
      <c r="BK921" s="66"/>
      <c r="BL921" s="66"/>
      <c r="BM921" s="66"/>
      <c r="BN921" s="66"/>
      <c r="BO921" s="66"/>
      <c r="BP921" s="66"/>
      <c r="BQ921" s="66"/>
      <c r="BR921" s="66"/>
      <c r="BS921" s="66"/>
      <c r="BT921" s="66"/>
      <c r="BU921" s="66"/>
      <c r="BV921" s="66"/>
      <c r="BW921" s="66"/>
    </row>
    <row r="922" ht="21.0" customHeight="1">
      <c r="A922" s="12"/>
      <c r="B922" s="78"/>
      <c r="C922" s="77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  <c r="AR922" s="66"/>
      <c r="AS922" s="66"/>
      <c r="AT922" s="66"/>
      <c r="AU922" s="66"/>
      <c r="AV922" s="66"/>
      <c r="AW922" s="66"/>
      <c r="AX922" s="66"/>
      <c r="AY922" s="66"/>
      <c r="AZ922" s="66"/>
      <c r="BA922" s="66"/>
      <c r="BB922" s="66"/>
      <c r="BC922" s="66"/>
      <c r="BD922" s="66"/>
      <c r="BE922" s="66"/>
      <c r="BF922" s="66"/>
      <c r="BG922" s="66"/>
      <c r="BH922" s="66"/>
      <c r="BI922" s="66"/>
      <c r="BJ922" s="66"/>
      <c r="BK922" s="66"/>
      <c r="BL922" s="66"/>
      <c r="BM922" s="66"/>
      <c r="BN922" s="66"/>
      <c r="BO922" s="66"/>
      <c r="BP922" s="66"/>
      <c r="BQ922" s="66"/>
      <c r="BR922" s="66"/>
      <c r="BS922" s="66"/>
      <c r="BT922" s="66"/>
      <c r="BU922" s="66"/>
      <c r="BV922" s="66"/>
      <c r="BW922" s="66"/>
    </row>
  </sheetData>
  <conditionalFormatting sqref="C1:C2 C4:C5 C7:C8 C11:C12 B14:C15 B17 C17:C51 B53:C55 B57:C58 B60:B61 C60:C99 B63:B67 B69:B72 C102:C103 C106:C400 B213 B368:B374 C402:C412 C415 C418:C420 C423 C425:C559 B447 B450 B455 B458 B461 B477 B481 B523 B527 C561:C573 C576:C688 B646:B647 B650 B653:B654 B656:B666 B677:B688 B690 C690:C710 B699:B701 B703:B704 B706:B707 C712:C713 C715:C716 C718:C922">
    <cfRule type="cellIs" dxfId="0" priority="1" operator="equal">
      <formula>0</formula>
    </cfRule>
  </conditionalFormatting>
  <conditionalFormatting sqref="C1:C2 C4:C5 C7:C8 C11:C12 B14:C15 B17 C17:C51 B53:C55 B57:C58 B60:B61 C60:C99 B63:B67 B69:B72 C102:C103 C106:C400 B213 B368:B374 C402:C412 C415 C418:C420 C423 C425:C559 B447 B450 B455 B458 B461 B477 B481 B523 B527 C561:C573 C576:C688 B646:B647 B650 B653:B654 B656:B666 B677:B688 B690 C690:C710 B699:B701 B703:B704 B706:B707 C712:C713 C715:C716 C718:C922">
    <cfRule type="cellIs" dxfId="0" priority="2" operator="equal">
      <formula>0</formula>
    </cfRule>
  </conditionalFormatting>
  <conditionalFormatting sqref="B6:B388 C6:C400 D84 B402 C402:C412 B414:C415 B417:B419 C417:C420 B422 C422:C423 B425 C425:C573 B444:B447 B450 B455 B458 B461 B464 B466:B479 B481:B572 B575:B688 C576:C688 B690:C848">
    <cfRule type="colorScale" priority="3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15.33"/>
  </cols>
  <sheetData>
    <row r="1" ht="30.75" customHeight="1">
      <c r="A1" s="79" t="s">
        <v>772</v>
      </c>
    </row>
    <row r="2">
      <c r="A2" s="80" t="s">
        <v>3</v>
      </c>
      <c r="B2" s="81" t="s">
        <v>773</v>
      </c>
    </row>
    <row r="3">
      <c r="A3" s="82" t="s">
        <v>9</v>
      </c>
      <c r="B3" s="83">
        <v>6.0</v>
      </c>
    </row>
    <row r="4">
      <c r="A4" s="82" t="s">
        <v>42</v>
      </c>
      <c r="B4" s="83">
        <v>43.0</v>
      </c>
    </row>
    <row r="5">
      <c r="A5" s="82" t="s">
        <v>22</v>
      </c>
      <c r="B5" s="83">
        <v>114.0</v>
      </c>
    </row>
    <row r="6">
      <c r="A6" s="82" t="s">
        <v>24</v>
      </c>
      <c r="B6" s="83">
        <v>54.0</v>
      </c>
    </row>
    <row r="7">
      <c r="A7" s="82" t="s">
        <v>28</v>
      </c>
      <c r="B7" s="83">
        <v>97.0</v>
      </c>
    </row>
    <row r="8">
      <c r="A8" s="82" t="s">
        <v>46</v>
      </c>
      <c r="B8" s="83">
        <v>59.0</v>
      </c>
    </row>
    <row r="9">
      <c r="A9" s="82" t="s">
        <v>49</v>
      </c>
      <c r="B9" s="83">
        <v>25.0</v>
      </c>
    </row>
    <row r="10">
      <c r="A10" s="82" t="s">
        <v>31</v>
      </c>
      <c r="B10" s="83">
        <v>85.0</v>
      </c>
    </row>
    <row r="11">
      <c r="A11" s="82" t="s">
        <v>56</v>
      </c>
      <c r="B11" s="83">
        <v>202.0</v>
      </c>
    </row>
    <row r="12">
      <c r="A12" s="82" t="s">
        <v>63</v>
      </c>
      <c r="B12" s="83">
        <v>40.0</v>
      </c>
    </row>
    <row r="13">
      <c r="A13" s="82" t="s">
        <v>67</v>
      </c>
      <c r="B13" s="83">
        <v>41.0</v>
      </c>
    </row>
    <row r="14">
      <c r="A14" s="82" t="s">
        <v>73</v>
      </c>
      <c r="B14" s="83">
        <v>215.0</v>
      </c>
    </row>
    <row r="15">
      <c r="A15" s="82" t="s">
        <v>74</v>
      </c>
      <c r="B15" s="83">
        <v>131.0</v>
      </c>
    </row>
    <row r="16">
      <c r="A16" s="82" t="s">
        <v>71</v>
      </c>
      <c r="B16" s="83">
        <v>247.0</v>
      </c>
    </row>
    <row r="17">
      <c r="A17" s="82" t="s">
        <v>72</v>
      </c>
      <c r="B17" s="83">
        <v>38.0</v>
      </c>
    </row>
    <row r="18">
      <c r="A18" s="82" t="s">
        <v>86</v>
      </c>
      <c r="B18" s="83">
        <v>343.0</v>
      </c>
    </row>
    <row r="19">
      <c r="A19" s="82" t="s">
        <v>91</v>
      </c>
      <c r="B19" s="83">
        <v>2479.0</v>
      </c>
    </row>
    <row r="20">
      <c r="A20" s="82" t="s">
        <v>92</v>
      </c>
      <c r="B20" s="83">
        <v>497.0</v>
      </c>
    </row>
    <row r="21">
      <c r="A21" s="82" t="s">
        <v>95</v>
      </c>
      <c r="B21" s="83">
        <v>299.0</v>
      </c>
    </row>
    <row r="22">
      <c r="A22" s="84" t="s">
        <v>104</v>
      </c>
      <c r="B22" s="83">
        <v>1085.0</v>
      </c>
    </row>
    <row r="23">
      <c r="A23" s="82" t="s">
        <v>111</v>
      </c>
      <c r="B23" s="83">
        <v>126.0</v>
      </c>
    </row>
    <row r="24">
      <c r="A24" s="82" t="s">
        <v>112</v>
      </c>
      <c r="B24" s="83">
        <v>182.0</v>
      </c>
    </row>
    <row r="25">
      <c r="A25" s="82" t="s">
        <v>105</v>
      </c>
      <c r="B25" s="83">
        <v>308.0</v>
      </c>
    </row>
    <row r="26">
      <c r="A26" s="82" t="s">
        <v>101</v>
      </c>
      <c r="B26" s="83">
        <v>236.0</v>
      </c>
    </row>
    <row r="27">
      <c r="A27" s="82" t="s">
        <v>115</v>
      </c>
      <c r="B27" s="83">
        <v>38.0</v>
      </c>
    </row>
    <row r="28">
      <c r="A28" s="82" t="s">
        <v>124</v>
      </c>
      <c r="B28" s="83">
        <v>154.0</v>
      </c>
    </row>
    <row r="29">
      <c r="A29" s="82" t="s">
        <v>120</v>
      </c>
      <c r="B29" s="83">
        <v>18.0</v>
      </c>
    </row>
    <row r="30">
      <c r="A30" s="82" t="s">
        <v>140</v>
      </c>
      <c r="B30" s="83">
        <v>27.0</v>
      </c>
    </row>
    <row r="31">
      <c r="A31" s="82" t="s">
        <v>142</v>
      </c>
      <c r="B31" s="83">
        <v>146.0</v>
      </c>
    </row>
    <row r="32">
      <c r="A32" s="82" t="s">
        <v>127</v>
      </c>
      <c r="B32" s="83">
        <v>157.0</v>
      </c>
    </row>
    <row r="33">
      <c r="A33" s="82" t="s">
        <v>129</v>
      </c>
      <c r="B33" s="83">
        <v>251.0</v>
      </c>
    </row>
    <row r="34">
      <c r="A34" s="82" t="s">
        <v>131</v>
      </c>
      <c r="B34" s="83">
        <v>64.0</v>
      </c>
    </row>
    <row r="35">
      <c r="A35" s="82" t="s">
        <v>133</v>
      </c>
      <c r="B35" s="83">
        <v>159.0</v>
      </c>
    </row>
    <row r="36">
      <c r="A36" s="82" t="s">
        <v>134</v>
      </c>
      <c r="B36" s="83">
        <v>382.0</v>
      </c>
    </row>
    <row r="37">
      <c r="A37" s="82" t="s">
        <v>130</v>
      </c>
      <c r="B37" s="83">
        <v>156.0</v>
      </c>
    </row>
    <row r="38">
      <c r="A38" s="82" t="s">
        <v>136</v>
      </c>
      <c r="B38" s="83">
        <v>50.0</v>
      </c>
    </row>
    <row r="39">
      <c r="A39" s="82" t="s">
        <v>138</v>
      </c>
      <c r="B39" s="83" t="s">
        <v>774</v>
      </c>
    </row>
    <row r="40">
      <c r="A40" s="82" t="s">
        <v>135</v>
      </c>
      <c r="B40" s="83">
        <v>73.0</v>
      </c>
    </row>
    <row r="41">
      <c r="A41" s="82" t="s">
        <v>154</v>
      </c>
      <c r="B41" s="83">
        <v>32.0</v>
      </c>
    </row>
    <row r="42">
      <c r="A42" s="82" t="s">
        <v>159</v>
      </c>
      <c r="B42" s="83">
        <v>133.0</v>
      </c>
    </row>
    <row r="43">
      <c r="A43" s="82" t="s">
        <v>166</v>
      </c>
      <c r="B43" s="83">
        <v>15.0</v>
      </c>
    </row>
    <row r="44">
      <c r="A44" s="82" t="s">
        <v>169</v>
      </c>
      <c r="B44" s="83">
        <v>24.0</v>
      </c>
    </row>
    <row r="45">
      <c r="A45" s="82" t="s">
        <v>162</v>
      </c>
      <c r="B45" s="83">
        <v>57.0</v>
      </c>
    </row>
    <row r="46">
      <c r="A46" s="82" t="s">
        <v>164</v>
      </c>
      <c r="B46" s="83">
        <v>1.0</v>
      </c>
    </row>
    <row r="47">
      <c r="A47" s="82" t="s">
        <v>183</v>
      </c>
      <c r="B47" s="83">
        <v>106.0</v>
      </c>
    </row>
    <row r="48">
      <c r="A48" s="82" t="s">
        <v>184</v>
      </c>
      <c r="B48" s="83">
        <v>146.0</v>
      </c>
    </row>
    <row r="49">
      <c r="A49" s="82" t="s">
        <v>191</v>
      </c>
      <c r="B49" s="83">
        <v>93.0</v>
      </c>
    </row>
    <row r="50">
      <c r="A50" s="82" t="s">
        <v>195</v>
      </c>
      <c r="B50" s="83">
        <v>90.0</v>
      </c>
    </row>
    <row r="51">
      <c r="A51" s="82" t="s">
        <v>196</v>
      </c>
      <c r="B51" s="83">
        <v>112.0</v>
      </c>
    </row>
    <row r="52">
      <c r="A52" s="82" t="s">
        <v>198</v>
      </c>
      <c r="B52" s="83">
        <v>3.0</v>
      </c>
    </row>
    <row r="53">
      <c r="A53" s="82" t="s">
        <v>199</v>
      </c>
      <c r="B53" s="83">
        <v>94.0</v>
      </c>
    </row>
    <row r="54">
      <c r="A54" s="82" t="s">
        <v>203</v>
      </c>
      <c r="B54" s="83">
        <v>34.0</v>
      </c>
    </row>
    <row r="55">
      <c r="A55" s="82" t="s">
        <v>204</v>
      </c>
      <c r="B55" s="83">
        <v>47.0</v>
      </c>
    </row>
    <row r="56">
      <c r="A56" s="82" t="s">
        <v>202</v>
      </c>
      <c r="B56" s="83">
        <v>219.0</v>
      </c>
    </row>
    <row r="57">
      <c r="A57" s="82" t="s">
        <v>218</v>
      </c>
      <c r="B57" s="83">
        <v>474.0</v>
      </c>
    </row>
    <row r="58">
      <c r="A58" s="82" t="s">
        <v>230</v>
      </c>
      <c r="B58" s="83">
        <v>569.0</v>
      </c>
    </row>
    <row r="59">
      <c r="A59" s="82" t="s">
        <v>232</v>
      </c>
      <c r="B59" s="83">
        <v>278.0</v>
      </c>
    </row>
    <row r="60">
      <c r="A60" s="82" t="s">
        <v>239</v>
      </c>
      <c r="B60" s="83">
        <v>570.0</v>
      </c>
    </row>
    <row r="61">
      <c r="A61" s="82" t="s">
        <v>241</v>
      </c>
      <c r="B61" s="83">
        <v>247.0</v>
      </c>
    </row>
    <row r="62">
      <c r="A62" s="82" t="s">
        <v>250</v>
      </c>
      <c r="B62" s="83">
        <v>146.0</v>
      </c>
    </row>
    <row r="63">
      <c r="A63" s="82" t="s">
        <v>251</v>
      </c>
      <c r="B63" s="83">
        <v>457.0</v>
      </c>
    </row>
    <row r="64">
      <c r="A64" s="82" t="s">
        <v>254</v>
      </c>
      <c r="B64" s="83">
        <v>114.0</v>
      </c>
    </row>
    <row r="65">
      <c r="A65" s="82" t="s">
        <v>255</v>
      </c>
      <c r="B65" s="83">
        <v>34.0</v>
      </c>
    </row>
    <row r="66">
      <c r="A66" s="82" t="s">
        <v>256</v>
      </c>
      <c r="B66" s="83">
        <v>187.0</v>
      </c>
    </row>
    <row r="67">
      <c r="A67" s="82" t="s">
        <v>257</v>
      </c>
      <c r="B67" s="83">
        <v>149.0</v>
      </c>
    </row>
    <row r="68">
      <c r="A68" s="82" t="s">
        <v>260</v>
      </c>
      <c r="B68" s="83">
        <v>265.0</v>
      </c>
    </row>
    <row r="69">
      <c r="A69" s="85" t="s">
        <v>264</v>
      </c>
      <c r="B69" s="83">
        <v>31.0</v>
      </c>
    </row>
    <row r="70">
      <c r="A70" s="84" t="s">
        <v>287</v>
      </c>
      <c r="B70" s="83">
        <v>873.0</v>
      </c>
    </row>
    <row r="71">
      <c r="A71" s="84" t="s">
        <v>289</v>
      </c>
      <c r="B71" s="83">
        <v>1369.0</v>
      </c>
    </row>
    <row r="72">
      <c r="A72" s="82" t="s">
        <v>291</v>
      </c>
      <c r="B72" s="83">
        <v>129.0</v>
      </c>
    </row>
    <row r="73">
      <c r="A73" s="82" t="s">
        <v>286</v>
      </c>
      <c r="B73" s="83">
        <v>95.0</v>
      </c>
    </row>
    <row r="74">
      <c r="A74" s="84" t="s">
        <v>297</v>
      </c>
      <c r="B74" s="83">
        <v>881.0</v>
      </c>
    </row>
    <row r="75">
      <c r="A75" s="82" t="s">
        <v>298</v>
      </c>
      <c r="B75" s="83">
        <v>4.0</v>
      </c>
    </row>
    <row r="76">
      <c r="A76" s="84" t="s">
        <v>299</v>
      </c>
      <c r="B76" s="83">
        <v>1746.0</v>
      </c>
    </row>
    <row r="77">
      <c r="A77" s="82" t="s">
        <v>300</v>
      </c>
      <c r="B77" s="83">
        <v>264.0</v>
      </c>
    </row>
    <row r="78">
      <c r="A78" s="82" t="s">
        <v>301</v>
      </c>
      <c r="B78" s="83">
        <v>188.0</v>
      </c>
    </row>
    <row r="79">
      <c r="A79" s="84" t="s">
        <v>295</v>
      </c>
      <c r="B79" s="83">
        <v>548.0</v>
      </c>
    </row>
    <row r="80">
      <c r="A80" s="82" t="s">
        <v>304</v>
      </c>
      <c r="B80" s="83">
        <v>299.0</v>
      </c>
    </row>
    <row r="81">
      <c r="A81" s="82" t="s">
        <v>306</v>
      </c>
      <c r="B81" s="83">
        <v>154.0</v>
      </c>
    </row>
    <row r="82">
      <c r="A82" s="82" t="s">
        <v>307</v>
      </c>
      <c r="B82" s="83">
        <v>63.0</v>
      </c>
    </row>
    <row r="83">
      <c r="A83" s="82" t="s">
        <v>308</v>
      </c>
      <c r="B83" s="83">
        <v>36.0</v>
      </c>
    </row>
    <row r="84">
      <c r="A84" s="82" t="s">
        <v>303</v>
      </c>
      <c r="B84" s="83">
        <v>23.0</v>
      </c>
    </row>
    <row r="85">
      <c r="A85" s="82" t="s">
        <v>310</v>
      </c>
      <c r="B85" s="83" t="s">
        <v>774</v>
      </c>
    </row>
    <row r="86">
      <c r="A86" s="84" t="s">
        <v>313</v>
      </c>
      <c r="B86" s="83">
        <v>491.0</v>
      </c>
    </row>
    <row r="87">
      <c r="A87" s="84" t="s">
        <v>315</v>
      </c>
      <c r="B87" s="83">
        <v>828.0</v>
      </c>
    </row>
    <row r="88">
      <c r="A88" s="82" t="s">
        <v>309</v>
      </c>
      <c r="B88" s="83">
        <v>29.0</v>
      </c>
    </row>
    <row r="89">
      <c r="A89" s="82" t="s">
        <v>320</v>
      </c>
      <c r="B89" s="83">
        <v>4.0</v>
      </c>
    </row>
    <row r="90">
      <c r="A90" s="84" t="s">
        <v>267</v>
      </c>
      <c r="B90" s="83">
        <v>653.0</v>
      </c>
    </row>
    <row r="91">
      <c r="A91" s="82" t="s">
        <v>268</v>
      </c>
      <c r="B91" s="83">
        <v>176.0</v>
      </c>
    </row>
    <row r="92">
      <c r="A92" s="84" t="s">
        <v>269</v>
      </c>
      <c r="B92" s="83">
        <v>581.0</v>
      </c>
    </row>
    <row r="93">
      <c r="A93" s="82" t="s">
        <v>266</v>
      </c>
      <c r="B93" s="83">
        <v>183.0</v>
      </c>
    </row>
    <row r="94">
      <c r="A94" s="82" t="s">
        <v>316</v>
      </c>
      <c r="B94" s="83" t="s">
        <v>774</v>
      </c>
    </row>
    <row r="95">
      <c r="A95" s="82" t="s">
        <v>318</v>
      </c>
      <c r="B95" s="83">
        <v>98.0</v>
      </c>
    </row>
    <row r="96">
      <c r="A96" s="84" t="s">
        <v>274</v>
      </c>
      <c r="B96" s="83">
        <v>513.0</v>
      </c>
    </row>
    <row r="97">
      <c r="A97" s="84" t="s">
        <v>276</v>
      </c>
      <c r="B97" s="83">
        <v>2079.0</v>
      </c>
    </row>
    <row r="98">
      <c r="A98" s="82" t="s">
        <v>273</v>
      </c>
      <c r="B98" s="83">
        <v>45.0</v>
      </c>
    </row>
    <row r="99">
      <c r="A99" s="82" t="s">
        <v>321</v>
      </c>
      <c r="B99" s="83">
        <v>93.0</v>
      </c>
    </row>
    <row r="100">
      <c r="A100" s="82" t="s">
        <v>322</v>
      </c>
      <c r="B100" s="83">
        <v>73.0</v>
      </c>
    </row>
    <row r="101">
      <c r="A101" s="84" t="s">
        <v>325</v>
      </c>
      <c r="B101" s="83">
        <v>677.0</v>
      </c>
    </row>
    <row r="102">
      <c r="A102" s="86" t="s">
        <v>326</v>
      </c>
      <c r="B102" s="83">
        <v>175.0</v>
      </c>
    </row>
    <row r="103">
      <c r="A103" s="82" t="s">
        <v>327</v>
      </c>
      <c r="B103" s="83">
        <v>140.0</v>
      </c>
    </row>
    <row r="104">
      <c r="A104" s="84" t="s">
        <v>280</v>
      </c>
      <c r="B104" s="83">
        <v>140.0</v>
      </c>
    </row>
    <row r="105">
      <c r="A105" s="84" t="s">
        <v>284</v>
      </c>
      <c r="B105" s="83">
        <v>365.0</v>
      </c>
    </row>
    <row r="106">
      <c r="A106" s="82" t="s">
        <v>283</v>
      </c>
      <c r="B106" s="83" t="s">
        <v>774</v>
      </c>
    </row>
    <row r="107">
      <c r="A107" s="82" t="s">
        <v>279</v>
      </c>
      <c r="B107" s="83">
        <v>202.0</v>
      </c>
    </row>
    <row r="108">
      <c r="A108" s="82" t="s">
        <v>329</v>
      </c>
      <c r="B108" s="83">
        <v>31.0</v>
      </c>
    </row>
    <row r="109">
      <c r="A109" s="82" t="s">
        <v>359</v>
      </c>
      <c r="B109" s="83">
        <v>26.0</v>
      </c>
    </row>
    <row r="110">
      <c r="A110" s="84" t="s">
        <v>350</v>
      </c>
      <c r="B110" s="83">
        <v>147.0</v>
      </c>
    </row>
    <row r="111">
      <c r="A111" s="82" t="s">
        <v>336</v>
      </c>
      <c r="B111" s="83">
        <v>138.0</v>
      </c>
    </row>
    <row r="112">
      <c r="A112" s="82" t="s">
        <v>333</v>
      </c>
      <c r="B112" s="83">
        <v>134.0</v>
      </c>
    </row>
    <row r="113">
      <c r="A113" s="82" t="s">
        <v>338</v>
      </c>
      <c r="B113" s="83">
        <v>81.0</v>
      </c>
    </row>
    <row r="114">
      <c r="A114" s="82" t="s">
        <v>340</v>
      </c>
      <c r="B114" s="83">
        <v>222.0</v>
      </c>
    </row>
    <row r="115">
      <c r="A115" s="82" t="s">
        <v>337</v>
      </c>
      <c r="B115" s="83">
        <v>50.0</v>
      </c>
    </row>
    <row r="116">
      <c r="A116" s="82" t="s">
        <v>342</v>
      </c>
      <c r="B116" s="83">
        <v>222.0</v>
      </c>
    </row>
    <row r="117">
      <c r="A117" s="82" t="s">
        <v>343</v>
      </c>
      <c r="B117" s="83">
        <v>466.0</v>
      </c>
    </row>
    <row r="118">
      <c r="A118" s="82" t="s">
        <v>341</v>
      </c>
      <c r="B118" s="83">
        <v>16.0</v>
      </c>
    </row>
    <row r="119">
      <c r="A119" s="82" t="s">
        <v>345</v>
      </c>
      <c r="B119" s="83">
        <v>140.0</v>
      </c>
    </row>
    <row r="120">
      <c r="A120" s="82" t="s">
        <v>346</v>
      </c>
      <c r="B120" s="83">
        <v>95.0</v>
      </c>
    </row>
    <row r="121">
      <c r="A121" s="84" t="s">
        <v>347</v>
      </c>
      <c r="B121" s="83">
        <v>725.0</v>
      </c>
    </row>
    <row r="122">
      <c r="A122" s="82" t="s">
        <v>372</v>
      </c>
      <c r="B122" s="83">
        <v>71.0</v>
      </c>
    </row>
    <row r="123">
      <c r="A123" s="84" t="s">
        <v>373</v>
      </c>
      <c r="B123" s="83">
        <v>593.0</v>
      </c>
    </row>
    <row r="124">
      <c r="A124" s="84" t="s">
        <v>375</v>
      </c>
      <c r="B124" s="83">
        <v>517.0</v>
      </c>
    </row>
    <row r="125">
      <c r="A125" s="84" t="s">
        <v>376</v>
      </c>
      <c r="B125" s="83">
        <v>377.0</v>
      </c>
    </row>
    <row r="126">
      <c r="A126" s="84" t="s">
        <v>377</v>
      </c>
      <c r="B126" s="83">
        <v>277.0</v>
      </c>
    </row>
    <row r="127">
      <c r="A127" s="82" t="s">
        <v>378</v>
      </c>
      <c r="B127" s="83">
        <v>15.0</v>
      </c>
    </row>
    <row r="128">
      <c r="A128" s="82" t="s">
        <v>379</v>
      </c>
      <c r="B128" s="83">
        <v>65.0</v>
      </c>
    </row>
    <row r="129">
      <c r="A129" s="84" t="s">
        <v>380</v>
      </c>
      <c r="B129" s="83">
        <v>259.0</v>
      </c>
    </row>
    <row r="130">
      <c r="A130" s="82" t="s">
        <v>418</v>
      </c>
      <c r="B130" s="83">
        <v>10.0</v>
      </c>
    </row>
    <row r="131">
      <c r="A131" s="82" t="s">
        <v>414</v>
      </c>
      <c r="B131" s="83">
        <v>173.0</v>
      </c>
    </row>
    <row r="132">
      <c r="A132" s="82" t="s">
        <v>426</v>
      </c>
      <c r="B132" s="83">
        <v>20.0</v>
      </c>
    </row>
    <row r="133">
      <c r="A133" s="82" t="s">
        <v>427</v>
      </c>
      <c r="B133" s="83">
        <v>46.0</v>
      </c>
    </row>
    <row r="134">
      <c r="A134" s="82" t="s">
        <v>428</v>
      </c>
      <c r="B134" s="83">
        <v>12.0</v>
      </c>
    </row>
    <row r="135">
      <c r="A135" s="82" t="s">
        <v>429</v>
      </c>
      <c r="B135" s="83">
        <v>70.0</v>
      </c>
    </row>
    <row r="136">
      <c r="A136" s="82" t="s">
        <v>430</v>
      </c>
      <c r="B136" s="83">
        <v>103.0</v>
      </c>
    </row>
    <row r="137">
      <c r="A137" s="82" t="s">
        <v>431</v>
      </c>
      <c r="B137" s="83">
        <v>76.0</v>
      </c>
    </row>
    <row r="138">
      <c r="A138" s="82" t="s">
        <v>432</v>
      </c>
      <c r="B138" s="83">
        <v>29.0</v>
      </c>
    </row>
    <row r="139">
      <c r="A139" s="82" t="s">
        <v>457</v>
      </c>
      <c r="B139" s="83">
        <v>22.0</v>
      </c>
    </row>
    <row r="140">
      <c r="A140" s="82" t="s">
        <v>458</v>
      </c>
      <c r="B140" s="83">
        <v>148.0</v>
      </c>
    </row>
    <row r="141">
      <c r="A141" s="82" t="s">
        <v>462</v>
      </c>
      <c r="B141" s="83">
        <v>99.0</v>
      </c>
    </row>
    <row r="142">
      <c r="A142" s="82" t="s">
        <v>464</v>
      </c>
      <c r="B142" s="83">
        <v>127.0</v>
      </c>
    </row>
    <row r="143">
      <c r="A143" s="82" t="s">
        <v>466</v>
      </c>
      <c r="B143" s="83">
        <v>103.0</v>
      </c>
    </row>
    <row r="144">
      <c r="A144" s="82" t="s">
        <v>445</v>
      </c>
      <c r="B144" s="83">
        <v>125.0</v>
      </c>
    </row>
    <row r="145">
      <c r="A145" s="82" t="s">
        <v>446</v>
      </c>
      <c r="B145" s="83">
        <v>234.0</v>
      </c>
    </row>
    <row r="146">
      <c r="A146" s="82" t="s">
        <v>504</v>
      </c>
      <c r="B146" s="83">
        <v>60.0</v>
      </c>
    </row>
    <row r="147">
      <c r="A147" s="82" t="s">
        <v>507</v>
      </c>
      <c r="B147" s="83">
        <v>25.0</v>
      </c>
    </row>
    <row r="148">
      <c r="A148" s="82" t="s">
        <v>510</v>
      </c>
      <c r="B148" s="83">
        <v>404.0</v>
      </c>
    </row>
    <row r="149">
      <c r="A149" s="82" t="s">
        <v>484</v>
      </c>
      <c r="B149" s="83">
        <v>102.0</v>
      </c>
    </row>
    <row r="150">
      <c r="A150" s="84" t="s">
        <v>486</v>
      </c>
      <c r="B150" s="83">
        <v>389.0</v>
      </c>
    </row>
    <row r="151">
      <c r="A151" s="84" t="s">
        <v>488</v>
      </c>
      <c r="B151" s="83">
        <v>654.0</v>
      </c>
    </row>
    <row r="152">
      <c r="A152" s="84" t="s">
        <v>485</v>
      </c>
      <c r="B152" s="83">
        <v>456.0</v>
      </c>
    </row>
    <row r="153">
      <c r="A153" s="82" t="s">
        <v>489</v>
      </c>
      <c r="B153" s="83">
        <v>140.0</v>
      </c>
    </row>
    <row r="154">
      <c r="A154" s="82" t="s">
        <v>490</v>
      </c>
      <c r="B154" s="83">
        <v>211.0</v>
      </c>
    </row>
    <row r="155">
      <c r="A155" s="84" t="s">
        <v>492</v>
      </c>
      <c r="B155" s="83">
        <v>114.0</v>
      </c>
    </row>
    <row r="156">
      <c r="A156" s="82" t="s">
        <v>494</v>
      </c>
      <c r="B156" s="83">
        <v>94.0</v>
      </c>
    </row>
    <row r="157">
      <c r="A157" s="82" t="s">
        <v>495</v>
      </c>
      <c r="B157" s="83">
        <v>103.0</v>
      </c>
    </row>
    <row r="158">
      <c r="A158" s="82" t="s">
        <v>498</v>
      </c>
      <c r="B158" s="83">
        <v>28.0</v>
      </c>
    </row>
    <row r="159">
      <c r="A159" s="82" t="s">
        <v>500</v>
      </c>
      <c r="B159" s="83">
        <v>126.0</v>
      </c>
    </row>
    <row r="160">
      <c r="A160" s="82" t="s">
        <v>502</v>
      </c>
      <c r="B160" s="83">
        <v>72.0</v>
      </c>
    </row>
    <row r="161">
      <c r="A161" s="82" t="s">
        <v>503</v>
      </c>
      <c r="B161" s="83">
        <v>98.0</v>
      </c>
    </row>
    <row r="162">
      <c r="A162" s="82" t="s">
        <v>557</v>
      </c>
      <c r="B162" s="83">
        <v>16.0</v>
      </c>
    </row>
    <row r="163">
      <c r="A163" s="82" t="s">
        <v>559</v>
      </c>
      <c r="B163" s="83">
        <v>16.0</v>
      </c>
    </row>
    <row r="164">
      <c r="A164" s="82" t="s">
        <v>560</v>
      </c>
      <c r="B164" s="83">
        <v>9.0</v>
      </c>
    </row>
    <row r="165">
      <c r="A165" s="82" t="s">
        <v>561</v>
      </c>
      <c r="B165" s="83">
        <v>55.0</v>
      </c>
    </row>
    <row r="166">
      <c r="A166" s="82" t="s">
        <v>565</v>
      </c>
      <c r="B166" s="83">
        <v>20.0</v>
      </c>
    </row>
    <row r="167">
      <c r="A167" s="82" t="s">
        <v>566</v>
      </c>
      <c r="B167" s="83">
        <v>9.0</v>
      </c>
    </row>
    <row r="168">
      <c r="A168" s="82" t="s">
        <v>568</v>
      </c>
      <c r="B168" s="83">
        <v>6.0</v>
      </c>
    </row>
    <row r="169">
      <c r="A169" s="82" t="s">
        <v>531</v>
      </c>
      <c r="B169" s="83">
        <v>30.0</v>
      </c>
    </row>
    <row r="170">
      <c r="A170" s="82" t="s">
        <v>535</v>
      </c>
      <c r="B170" s="83">
        <v>288.0</v>
      </c>
    </row>
    <row r="171">
      <c r="A171" s="82" t="s">
        <v>562</v>
      </c>
      <c r="B171" s="83">
        <v>55.0</v>
      </c>
    </row>
    <row r="172">
      <c r="A172" s="82" t="s">
        <v>563</v>
      </c>
      <c r="B172" s="83">
        <v>23.0</v>
      </c>
    </row>
    <row r="173">
      <c r="A173" s="82" t="s">
        <v>564</v>
      </c>
      <c r="B173" s="83">
        <v>7.0</v>
      </c>
    </row>
    <row r="174">
      <c r="A174" s="82" t="s">
        <v>569</v>
      </c>
      <c r="B174" s="83">
        <v>10.0</v>
      </c>
    </row>
    <row r="175">
      <c r="A175" s="82" t="s">
        <v>570</v>
      </c>
      <c r="B175" s="83">
        <v>47.0</v>
      </c>
    </row>
    <row r="176">
      <c r="A176" s="82" t="s">
        <v>571</v>
      </c>
      <c r="B176" s="83">
        <v>10.0</v>
      </c>
    </row>
    <row r="177">
      <c r="A177" s="82" t="s">
        <v>536</v>
      </c>
      <c r="B177" s="83">
        <v>234.0</v>
      </c>
    </row>
    <row r="178">
      <c r="A178" s="82" t="s">
        <v>537</v>
      </c>
      <c r="B178" s="83">
        <v>70.0</v>
      </c>
    </row>
    <row r="179">
      <c r="A179" s="82" t="s">
        <v>538</v>
      </c>
      <c r="B179" s="83">
        <v>88.0</v>
      </c>
    </row>
    <row r="180">
      <c r="A180" s="82" t="s">
        <v>572</v>
      </c>
      <c r="B180" s="83">
        <v>16.0</v>
      </c>
    </row>
    <row r="181">
      <c r="A181" s="82" t="s">
        <v>573</v>
      </c>
      <c r="B181" s="83">
        <v>14.0</v>
      </c>
    </row>
    <row r="182">
      <c r="A182" s="82" t="s">
        <v>575</v>
      </c>
      <c r="B182" s="83">
        <v>12.0</v>
      </c>
    </row>
    <row r="183">
      <c r="A183" s="82" t="s">
        <v>576</v>
      </c>
      <c r="B183" s="83">
        <v>19.0</v>
      </c>
    </row>
    <row r="184">
      <c r="A184" s="82" t="s">
        <v>577</v>
      </c>
      <c r="B184" s="83">
        <v>8.0</v>
      </c>
    </row>
    <row r="185">
      <c r="A185" s="82" t="s">
        <v>541</v>
      </c>
      <c r="B185" s="83">
        <v>11.0</v>
      </c>
    </row>
    <row r="186">
      <c r="A186" s="84" t="s">
        <v>544</v>
      </c>
      <c r="B186" s="83">
        <v>177.0</v>
      </c>
    </row>
    <row r="187">
      <c r="A187" s="82" t="s">
        <v>545</v>
      </c>
      <c r="B187" s="83">
        <v>71.0</v>
      </c>
    </row>
    <row r="188">
      <c r="A188" s="82" t="s">
        <v>547</v>
      </c>
      <c r="B188" s="83">
        <v>49.0</v>
      </c>
    </row>
    <row r="189">
      <c r="A189" s="82" t="s">
        <v>548</v>
      </c>
      <c r="B189" s="83">
        <v>13.0</v>
      </c>
    </row>
    <row r="190">
      <c r="A190" s="82" t="s">
        <v>549</v>
      </c>
      <c r="B190" s="83">
        <v>178.0</v>
      </c>
    </row>
    <row r="191">
      <c r="A191" s="82" t="s">
        <v>550</v>
      </c>
      <c r="B191" s="83" t="s">
        <v>774</v>
      </c>
    </row>
    <row r="192">
      <c r="A192" s="82" t="s">
        <v>551</v>
      </c>
      <c r="B192" s="83">
        <v>57.0</v>
      </c>
    </row>
    <row r="193">
      <c r="A193" s="82" t="s">
        <v>528</v>
      </c>
      <c r="B193" s="83">
        <v>97.0</v>
      </c>
    </row>
    <row r="194">
      <c r="A194" s="82" t="s">
        <v>552</v>
      </c>
      <c r="B194" s="83">
        <v>198.0</v>
      </c>
    </row>
    <row r="195">
      <c r="A195" s="82" t="s">
        <v>554</v>
      </c>
      <c r="B195" s="83">
        <v>101.0</v>
      </c>
    </row>
    <row r="196">
      <c r="A196" s="82" t="s">
        <v>555</v>
      </c>
      <c r="B196" s="83">
        <v>144.0</v>
      </c>
    </row>
    <row r="197">
      <c r="A197" s="82" t="s">
        <v>556</v>
      </c>
      <c r="B197" s="83">
        <v>130.0</v>
      </c>
    </row>
    <row r="198">
      <c r="A198" s="82" t="s">
        <v>589</v>
      </c>
      <c r="B198" s="83">
        <v>5.0</v>
      </c>
    </row>
    <row r="199">
      <c r="A199" s="82" t="s">
        <v>590</v>
      </c>
      <c r="B199" s="83">
        <v>31.0</v>
      </c>
    </row>
    <row r="200">
      <c r="A200" s="82" t="s">
        <v>591</v>
      </c>
      <c r="B200" s="83">
        <v>156.0</v>
      </c>
    </row>
    <row r="201">
      <c r="A201" s="82" t="s">
        <v>581</v>
      </c>
      <c r="B201" s="83">
        <v>118.0</v>
      </c>
    </row>
    <row r="202">
      <c r="A202" s="82" t="s">
        <v>582</v>
      </c>
      <c r="B202" s="83">
        <v>50.0</v>
      </c>
    </row>
    <row r="203">
      <c r="A203" s="82" t="s">
        <v>583</v>
      </c>
      <c r="B203" s="83">
        <v>43.0</v>
      </c>
    </row>
    <row r="204">
      <c r="A204" s="82" t="s">
        <v>584</v>
      </c>
      <c r="B204" s="83">
        <v>18.0</v>
      </c>
    </row>
    <row r="205">
      <c r="A205" s="82" t="s">
        <v>585</v>
      </c>
      <c r="B205" s="83">
        <v>131.0</v>
      </c>
    </row>
    <row r="206">
      <c r="A206" s="82" t="s">
        <v>586</v>
      </c>
      <c r="B206" s="83">
        <v>24.0</v>
      </c>
    </row>
    <row r="207">
      <c r="A207" s="82" t="s">
        <v>587</v>
      </c>
      <c r="B207" s="83">
        <v>68.0</v>
      </c>
    </row>
    <row r="208">
      <c r="A208" s="82" t="s">
        <v>588</v>
      </c>
      <c r="B208" s="83">
        <v>98.0</v>
      </c>
    </row>
    <row r="209">
      <c r="A209" s="82" t="s">
        <v>622</v>
      </c>
      <c r="B209" s="83">
        <v>164.0</v>
      </c>
    </row>
    <row r="210">
      <c r="A210" s="82" t="s">
        <v>623</v>
      </c>
      <c r="B210" s="83">
        <v>102.0</v>
      </c>
    </row>
    <row r="211">
      <c r="A211" s="82" t="s">
        <v>624</v>
      </c>
      <c r="B211" s="83">
        <v>88.0</v>
      </c>
    </row>
    <row r="212">
      <c r="A212" s="82" t="s">
        <v>625</v>
      </c>
      <c r="B212" s="83">
        <v>195.0</v>
      </c>
    </row>
    <row r="213">
      <c r="A213" s="82" t="s">
        <v>626</v>
      </c>
      <c r="B213" s="83">
        <v>23.0</v>
      </c>
    </row>
    <row r="214">
      <c r="A214" s="82" t="s">
        <v>627</v>
      </c>
      <c r="B214" s="83">
        <v>267.0</v>
      </c>
    </row>
    <row r="215">
      <c r="A215" s="82" t="s">
        <v>620</v>
      </c>
      <c r="B215" s="83">
        <v>77.0</v>
      </c>
    </row>
    <row r="216">
      <c r="A216" s="82" t="s">
        <v>621</v>
      </c>
      <c r="B216" s="83">
        <v>12.0</v>
      </c>
    </row>
    <row r="217">
      <c r="A217" s="82" t="s">
        <v>629</v>
      </c>
      <c r="B217" s="83">
        <v>62.0</v>
      </c>
    </row>
    <row r="218">
      <c r="A218" s="82" t="s">
        <v>632</v>
      </c>
      <c r="B218" s="83">
        <v>33.0</v>
      </c>
    </row>
    <row r="219">
      <c r="A219" s="82" t="s">
        <v>633</v>
      </c>
      <c r="B219" s="83">
        <v>125.0</v>
      </c>
    </row>
    <row r="220">
      <c r="A220" s="82" t="s">
        <v>636</v>
      </c>
      <c r="B220" s="83">
        <v>67.0</v>
      </c>
    </row>
    <row r="221">
      <c r="A221" s="82" t="s">
        <v>637</v>
      </c>
      <c r="B221" s="83">
        <v>33.0</v>
      </c>
    </row>
    <row r="222">
      <c r="A222" s="82" t="s">
        <v>653</v>
      </c>
      <c r="B222" s="83" t="s">
        <v>774</v>
      </c>
    </row>
    <row r="223">
      <c r="A223" s="82" t="s">
        <v>654</v>
      </c>
      <c r="B223" s="83">
        <v>50.0</v>
      </c>
    </row>
    <row r="224">
      <c r="A224" s="82" t="s">
        <v>661</v>
      </c>
      <c r="B224" s="83">
        <v>31.0</v>
      </c>
    </row>
    <row r="225">
      <c r="A225" s="82" t="s">
        <v>663</v>
      </c>
      <c r="B225" s="83" t="s">
        <v>774</v>
      </c>
    </row>
    <row r="226">
      <c r="A226" s="82" t="s">
        <v>665</v>
      </c>
      <c r="B226" s="83">
        <v>61.0</v>
      </c>
    </row>
    <row r="227">
      <c r="A227" s="82" t="s">
        <v>681</v>
      </c>
      <c r="B227" s="83">
        <v>182.0</v>
      </c>
    </row>
    <row r="228">
      <c r="A228" s="82" t="s">
        <v>683</v>
      </c>
      <c r="B228" s="83">
        <v>30.0</v>
      </c>
    </row>
    <row r="229">
      <c r="A229" s="82" t="s">
        <v>685</v>
      </c>
      <c r="B229" s="83">
        <v>23.0</v>
      </c>
    </row>
    <row r="230">
      <c r="A230" s="82" t="s">
        <v>700</v>
      </c>
      <c r="B230" s="83">
        <v>34.0</v>
      </c>
    </row>
    <row r="231">
      <c r="A231" s="82" t="s">
        <v>701</v>
      </c>
      <c r="B231" s="83">
        <v>32.0</v>
      </c>
    </row>
    <row r="232">
      <c r="A232" s="82" t="s">
        <v>702</v>
      </c>
      <c r="B232" s="83">
        <v>44.0</v>
      </c>
    </row>
    <row r="233">
      <c r="A233" s="82" t="s">
        <v>703</v>
      </c>
      <c r="B233" s="83">
        <v>48.0</v>
      </c>
    </row>
    <row r="234">
      <c r="A234" s="82" t="s">
        <v>704</v>
      </c>
      <c r="B234" s="83">
        <v>44.0</v>
      </c>
    </row>
    <row r="235">
      <c r="A235" s="82" t="s">
        <v>705</v>
      </c>
      <c r="B235" s="83">
        <v>44.0</v>
      </c>
    </row>
    <row r="236">
      <c r="A236" s="82" t="s">
        <v>706</v>
      </c>
      <c r="B236" s="83">
        <v>48.0</v>
      </c>
    </row>
    <row r="237">
      <c r="A237" s="82" t="s">
        <v>707</v>
      </c>
      <c r="B237" s="83">
        <v>41.0</v>
      </c>
    </row>
    <row r="238">
      <c r="A238" s="82" t="s">
        <v>712</v>
      </c>
      <c r="B238" s="83">
        <v>9.0</v>
      </c>
    </row>
    <row r="239">
      <c r="A239" s="82" t="s">
        <v>713</v>
      </c>
      <c r="B239" s="83">
        <v>118.0</v>
      </c>
    </row>
    <row r="240">
      <c r="A240" s="82" t="s">
        <v>714</v>
      </c>
      <c r="B240" s="83">
        <v>24.0</v>
      </c>
    </row>
    <row r="241">
      <c r="A241" s="82" t="s">
        <v>715</v>
      </c>
      <c r="B241" s="83">
        <v>628.0</v>
      </c>
    </row>
    <row r="242">
      <c r="A242" s="82" t="s">
        <v>720</v>
      </c>
      <c r="B242" s="83">
        <v>5.0</v>
      </c>
    </row>
    <row r="243">
      <c r="A243" s="82" t="s">
        <v>721</v>
      </c>
      <c r="B243" s="83">
        <v>147.0</v>
      </c>
    </row>
    <row r="244">
      <c r="A244" s="82" t="s">
        <v>722</v>
      </c>
      <c r="B244" s="83">
        <v>14.0</v>
      </c>
    </row>
    <row r="245">
      <c r="A245" s="82" t="s">
        <v>723</v>
      </c>
      <c r="B245" s="83">
        <v>38.0</v>
      </c>
    </row>
    <row r="246">
      <c r="A246" s="82" t="s">
        <v>692</v>
      </c>
      <c r="B246" s="83">
        <v>43.0</v>
      </c>
    </row>
    <row r="247">
      <c r="A247" s="82" t="s">
        <v>693</v>
      </c>
      <c r="B247" s="83">
        <v>7.0</v>
      </c>
    </row>
    <row r="248">
      <c r="A248" s="82" t="s">
        <v>694</v>
      </c>
      <c r="B248" s="83">
        <v>38.0</v>
      </c>
    </row>
    <row r="249">
      <c r="A249" s="82" t="s">
        <v>695</v>
      </c>
      <c r="B249" s="83">
        <v>96.0</v>
      </c>
    </row>
    <row r="250">
      <c r="A250" s="82" t="s">
        <v>728</v>
      </c>
      <c r="B250" s="83">
        <v>36.0</v>
      </c>
    </row>
    <row r="251">
      <c r="A251" s="82" t="s">
        <v>729</v>
      </c>
      <c r="B251" s="83">
        <v>12.0</v>
      </c>
    </row>
    <row r="252">
      <c r="A252" s="82" t="s">
        <v>730</v>
      </c>
      <c r="B252" s="83">
        <v>13.0</v>
      </c>
    </row>
    <row r="253">
      <c r="A253" s="82" t="s">
        <v>527</v>
      </c>
      <c r="B253" s="83">
        <v>63.0</v>
      </c>
    </row>
    <row r="254">
      <c r="A254" s="82" t="s">
        <v>288</v>
      </c>
      <c r="B254" s="83">
        <v>101.0</v>
      </c>
    </row>
    <row r="255">
      <c r="A255" s="82" t="s">
        <v>83</v>
      </c>
      <c r="B255" s="83">
        <v>96.0</v>
      </c>
    </row>
    <row r="256">
      <c r="A256" s="82" t="s">
        <v>225</v>
      </c>
      <c r="B256" s="83">
        <v>150.0</v>
      </c>
    </row>
    <row r="257">
      <c r="A257" s="87" t="s">
        <v>412</v>
      </c>
      <c r="B257" s="83">
        <v>14.0</v>
      </c>
    </row>
    <row r="258">
      <c r="A258" s="88" t="s">
        <v>153</v>
      </c>
      <c r="B258" s="83">
        <v>68.0</v>
      </c>
    </row>
    <row r="259">
      <c r="A259" s="89" t="s">
        <v>39</v>
      </c>
      <c r="B259" s="83">
        <v>47.0</v>
      </c>
    </row>
    <row r="260">
      <c r="A260" s="89" t="s">
        <v>40</v>
      </c>
      <c r="B260" s="83">
        <v>44.0</v>
      </c>
    </row>
    <row r="261">
      <c r="A261" s="89" t="s">
        <v>29</v>
      </c>
      <c r="B261" s="83" t="s">
        <v>774</v>
      </c>
    </row>
    <row r="262">
      <c r="A262" s="89" t="s">
        <v>77</v>
      </c>
      <c r="B262" s="83">
        <v>7.0</v>
      </c>
    </row>
    <row r="263">
      <c r="A263" s="89" t="s">
        <v>78</v>
      </c>
      <c r="B263" s="83">
        <v>45.0</v>
      </c>
    </row>
    <row r="264">
      <c r="A264" s="89" t="s">
        <v>82</v>
      </c>
      <c r="B264" s="83">
        <v>23.0</v>
      </c>
    </row>
    <row r="265">
      <c r="A265" s="89" t="s">
        <v>156</v>
      </c>
      <c r="B265" s="83">
        <v>104.0</v>
      </c>
    </row>
    <row r="266">
      <c r="A266" s="89" t="s">
        <v>314</v>
      </c>
      <c r="B266" s="83">
        <v>313.0</v>
      </c>
    </row>
    <row r="267">
      <c r="A267" s="89" t="s">
        <v>334</v>
      </c>
      <c r="B267" s="83">
        <v>257.0</v>
      </c>
    </row>
    <row r="268">
      <c r="A268" s="89" t="s">
        <v>493</v>
      </c>
      <c r="B268" s="83">
        <v>132.0</v>
      </c>
    </row>
    <row r="269">
      <c r="A269" s="89" t="s">
        <v>668</v>
      </c>
      <c r="B269" s="83">
        <v>48.0</v>
      </c>
    </row>
    <row r="270">
      <c r="A270" s="89" t="s">
        <v>270</v>
      </c>
      <c r="B270" s="83">
        <v>180.0</v>
      </c>
    </row>
    <row r="271">
      <c r="A271" s="89" t="s">
        <v>281</v>
      </c>
      <c r="B271" s="83">
        <v>144.0</v>
      </c>
    </row>
    <row r="272">
      <c r="A272" s="89" t="s">
        <v>355</v>
      </c>
      <c r="B272" s="83">
        <v>190.0</v>
      </c>
    </row>
    <row r="273">
      <c r="A273" s="89" t="s">
        <v>357</v>
      </c>
      <c r="B273" s="83">
        <v>134.0</v>
      </c>
    </row>
    <row r="274">
      <c r="A274" s="90" t="s">
        <v>593</v>
      </c>
      <c r="B274" s="83" t="s">
        <v>774</v>
      </c>
    </row>
    <row r="275">
      <c r="A275" s="90" t="s">
        <v>365</v>
      </c>
      <c r="B275" s="83">
        <v>168.0</v>
      </c>
    </row>
    <row r="276">
      <c r="A276" s="90" t="s">
        <v>366</v>
      </c>
      <c r="B276" s="83">
        <v>34.0</v>
      </c>
    </row>
    <row r="277">
      <c r="A277" s="90" t="s">
        <v>361</v>
      </c>
      <c r="B277" s="83">
        <v>8.0</v>
      </c>
    </row>
    <row r="278">
      <c r="A278" s="89" t="s">
        <v>676</v>
      </c>
      <c r="B278" s="83">
        <v>77.0</v>
      </c>
    </row>
    <row r="279">
      <c r="A279" s="89" t="s">
        <v>678</v>
      </c>
      <c r="B279" s="83">
        <v>258.0</v>
      </c>
    </row>
    <row r="280">
      <c r="A280" s="89" t="s">
        <v>328</v>
      </c>
      <c r="B280" s="83">
        <v>22.0</v>
      </c>
    </row>
    <row r="281">
      <c r="A281" s="89" t="s">
        <v>646</v>
      </c>
      <c r="B281" s="83">
        <v>14.0</v>
      </c>
    </row>
    <row r="282">
      <c r="A282" s="89" t="s">
        <v>634</v>
      </c>
      <c r="B282" s="83">
        <v>40.0</v>
      </c>
    </row>
    <row r="283">
      <c r="A283" s="89" t="s">
        <v>532</v>
      </c>
      <c r="B283" s="83" t="s">
        <v>774</v>
      </c>
    </row>
    <row r="284">
      <c r="A284" s="89" t="s">
        <v>12</v>
      </c>
      <c r="B284" s="83" t="s">
        <v>774</v>
      </c>
    </row>
    <row r="285">
      <c r="A285" s="89" t="s">
        <v>44</v>
      </c>
      <c r="B285" s="83">
        <v>55.0</v>
      </c>
    </row>
    <row r="286">
      <c r="A286" s="89" t="s">
        <v>96</v>
      </c>
      <c r="B286" s="83">
        <v>58.0</v>
      </c>
    </row>
    <row r="287">
      <c r="A287" s="89" t="s">
        <v>89</v>
      </c>
      <c r="B287" s="83">
        <v>18.0</v>
      </c>
    </row>
    <row r="288">
      <c r="A288" s="89" t="s">
        <v>108</v>
      </c>
      <c r="B288" s="83">
        <v>40.0</v>
      </c>
    </row>
    <row r="289">
      <c r="A289" s="89" t="s">
        <v>168</v>
      </c>
      <c r="B289" s="83">
        <v>33.0</v>
      </c>
    </row>
    <row r="290">
      <c r="A290" s="89" t="s">
        <v>194</v>
      </c>
      <c r="B290" s="83">
        <v>49.0</v>
      </c>
    </row>
    <row r="291">
      <c r="A291" s="89" t="s">
        <v>546</v>
      </c>
      <c r="B291" s="83">
        <v>33.0</v>
      </c>
    </row>
    <row r="292">
      <c r="A292" s="89" t="s">
        <v>671</v>
      </c>
      <c r="B292" s="83">
        <v>1.0</v>
      </c>
    </row>
    <row r="293">
      <c r="A293" s="89" t="s">
        <v>422</v>
      </c>
      <c r="B293" s="83" t="s">
        <v>774</v>
      </c>
    </row>
    <row r="294">
      <c r="A294" s="89" t="s">
        <v>439</v>
      </c>
      <c r="B294" s="83" t="s">
        <v>774</v>
      </c>
    </row>
    <row r="295">
      <c r="A295" s="89" t="s">
        <v>312</v>
      </c>
      <c r="B295" s="83" t="s">
        <v>774</v>
      </c>
    </row>
    <row r="296">
      <c r="A296" s="89" t="s">
        <v>522</v>
      </c>
      <c r="B296" s="83">
        <v>12.0</v>
      </c>
    </row>
    <row r="297">
      <c r="A297" s="89" t="s">
        <v>271</v>
      </c>
      <c r="B297" s="83">
        <v>120.0</v>
      </c>
    </row>
    <row r="298">
      <c r="A298" s="89" t="s">
        <v>277</v>
      </c>
      <c r="B298" s="83">
        <v>93.0</v>
      </c>
    </row>
    <row r="299">
      <c r="A299" s="89" t="s">
        <v>278</v>
      </c>
      <c r="B299" s="83">
        <v>116.0</v>
      </c>
    </row>
    <row r="300">
      <c r="A300" s="89" t="s">
        <v>282</v>
      </c>
      <c r="B300" s="83">
        <v>67.0</v>
      </c>
    </row>
    <row r="301">
      <c r="A301" s="89" t="s">
        <v>290</v>
      </c>
      <c r="B301" s="83">
        <v>456.0</v>
      </c>
    </row>
    <row r="302">
      <c r="A302" s="89" t="s">
        <v>293</v>
      </c>
      <c r="B302" s="83">
        <v>35.0</v>
      </c>
    </row>
    <row r="303">
      <c r="A303" s="89" t="s">
        <v>319</v>
      </c>
      <c r="B303" s="83">
        <v>29.0</v>
      </c>
    </row>
    <row r="304">
      <c r="A304" s="89" t="s">
        <v>374</v>
      </c>
      <c r="B304" s="83" t="s">
        <v>774</v>
      </c>
    </row>
    <row r="305">
      <c r="A305" s="89" t="s">
        <v>628</v>
      </c>
      <c r="B305" s="83" t="s">
        <v>774</v>
      </c>
    </row>
    <row r="306">
      <c r="A306" s="89" t="s">
        <v>630</v>
      </c>
      <c r="B306" s="83" t="s">
        <v>774</v>
      </c>
    </row>
    <row r="307">
      <c r="A307" s="89" t="s">
        <v>638</v>
      </c>
      <c r="B307" s="83" t="s">
        <v>774</v>
      </c>
    </row>
    <row r="308">
      <c r="A308" s="89" t="s">
        <v>139</v>
      </c>
      <c r="B308" s="83">
        <v>180.0</v>
      </c>
    </row>
    <row r="309">
      <c r="A309" s="89" t="s">
        <v>143</v>
      </c>
      <c r="B309" s="83">
        <v>141.0</v>
      </c>
    </row>
    <row r="310">
      <c r="A310" s="89" t="s">
        <v>246</v>
      </c>
      <c r="B310" s="83">
        <v>63.0</v>
      </c>
    </row>
    <row r="311">
      <c r="A311" s="89" t="s">
        <v>248</v>
      </c>
      <c r="B311" s="83">
        <v>84.0</v>
      </c>
    </row>
    <row r="312">
      <c r="A312" s="89" t="s">
        <v>259</v>
      </c>
      <c r="B312" s="83">
        <v>14.0</v>
      </c>
    </row>
    <row r="313">
      <c r="A313" s="89" t="s">
        <v>530</v>
      </c>
      <c r="B313" s="83">
        <v>46.0</v>
      </c>
    </row>
    <row r="314">
      <c r="A314" s="89" t="s">
        <v>100</v>
      </c>
      <c r="B314" s="83">
        <v>173.0</v>
      </c>
    </row>
    <row r="315">
      <c r="A315" s="89" t="s">
        <v>331</v>
      </c>
      <c r="B315" s="83">
        <v>33.0</v>
      </c>
    </row>
    <row r="316">
      <c r="A316" s="89" t="s">
        <v>48</v>
      </c>
      <c r="B316" s="83">
        <v>101.0</v>
      </c>
    </row>
    <row r="317">
      <c r="A317" s="89" t="s">
        <v>65</v>
      </c>
      <c r="B317" s="83">
        <v>21.0</v>
      </c>
    </row>
    <row r="318">
      <c r="A318" s="89" t="s">
        <v>228</v>
      </c>
      <c r="B318" s="83" t="s">
        <v>774</v>
      </c>
    </row>
    <row r="319">
      <c r="A319" s="89" t="s">
        <v>670</v>
      </c>
      <c r="B319" s="83">
        <v>35.0</v>
      </c>
    </row>
    <row r="320">
      <c r="A320" s="89" t="s">
        <v>64</v>
      </c>
      <c r="B320" s="83">
        <v>25.0</v>
      </c>
    </row>
    <row r="321">
      <c r="A321" s="89" t="s">
        <v>364</v>
      </c>
      <c r="B321" s="83">
        <v>6.0</v>
      </c>
    </row>
    <row r="322">
      <c r="A322" s="89" t="s">
        <v>434</v>
      </c>
      <c r="B322" s="83">
        <v>21.0</v>
      </c>
    </row>
    <row r="323">
      <c r="A323" s="89" t="s">
        <v>534</v>
      </c>
      <c r="B323" s="83">
        <v>3.0</v>
      </c>
    </row>
    <row r="324">
      <c r="A324" s="82" t="s">
        <v>102</v>
      </c>
      <c r="B324" s="83">
        <v>96.0</v>
      </c>
    </row>
    <row r="325">
      <c r="A325" s="82" t="s">
        <v>107</v>
      </c>
      <c r="B325" s="83">
        <v>96.0</v>
      </c>
    </row>
    <row r="326">
      <c r="A326" s="82" t="s">
        <v>141</v>
      </c>
      <c r="B326" s="83">
        <v>76.0</v>
      </c>
    </row>
    <row r="327">
      <c r="A327" s="82" t="s">
        <v>144</v>
      </c>
      <c r="B327" s="83">
        <v>221.0</v>
      </c>
    </row>
    <row r="328">
      <c r="A328" s="82" t="s">
        <v>145</v>
      </c>
      <c r="B328" s="83">
        <v>21.0</v>
      </c>
    </row>
    <row r="329">
      <c r="A329" s="82" t="s">
        <v>146</v>
      </c>
      <c r="B329" s="83">
        <v>110.0</v>
      </c>
    </row>
    <row r="330">
      <c r="A330" s="82" t="s">
        <v>147</v>
      </c>
      <c r="B330" s="83">
        <v>32.0</v>
      </c>
    </row>
    <row r="331">
      <c r="A331" s="82" t="s">
        <v>132</v>
      </c>
      <c r="B331" s="83">
        <v>132.0</v>
      </c>
    </row>
    <row r="332">
      <c r="A332" s="82" t="s">
        <v>137</v>
      </c>
      <c r="B332" s="83" t="s">
        <v>774</v>
      </c>
    </row>
    <row r="333">
      <c r="A333" s="85" t="s">
        <v>208</v>
      </c>
      <c r="B333" s="83" t="s">
        <v>774</v>
      </c>
    </row>
    <row r="334">
      <c r="A334" s="82" t="s">
        <v>221</v>
      </c>
      <c r="B334" s="83">
        <v>164.0</v>
      </c>
    </row>
    <row r="335">
      <c r="A335" s="82" t="s">
        <v>305</v>
      </c>
      <c r="B335" s="83">
        <v>37.0</v>
      </c>
    </row>
    <row r="336">
      <c r="A336" s="82" t="s">
        <v>317</v>
      </c>
      <c r="B336" s="83">
        <v>6.0</v>
      </c>
    </row>
    <row r="337">
      <c r="A337" s="82" t="s">
        <v>275</v>
      </c>
      <c r="B337" s="83">
        <v>188.0</v>
      </c>
    </row>
    <row r="338">
      <c r="A338" s="82" t="s">
        <v>324</v>
      </c>
      <c r="B338" s="83">
        <v>94.0</v>
      </c>
    </row>
    <row r="339">
      <c r="A339" s="82" t="s">
        <v>351</v>
      </c>
      <c r="B339" s="83">
        <v>38.0</v>
      </c>
    </row>
    <row r="340">
      <c r="A340" s="82" t="s">
        <v>335</v>
      </c>
      <c r="B340" s="83">
        <v>71.0</v>
      </c>
    </row>
    <row r="341">
      <c r="A341" s="82" t="s">
        <v>339</v>
      </c>
      <c r="B341" s="83">
        <v>55.0</v>
      </c>
    </row>
    <row r="342">
      <c r="A342" s="82" t="s">
        <v>344</v>
      </c>
      <c r="B342" s="83">
        <v>42.0</v>
      </c>
    </row>
    <row r="343">
      <c r="A343" s="82" t="s">
        <v>348</v>
      </c>
      <c r="B343" s="83">
        <v>48.0</v>
      </c>
    </row>
    <row r="344">
      <c r="A344" s="82" t="s">
        <v>461</v>
      </c>
      <c r="B344" s="83">
        <v>36.0</v>
      </c>
    </row>
    <row r="345">
      <c r="A345" s="82" t="s">
        <v>452</v>
      </c>
      <c r="B345" s="83">
        <v>29.0</v>
      </c>
    </row>
    <row r="346">
      <c r="A346" s="82" t="s">
        <v>454</v>
      </c>
      <c r="B346" s="83">
        <v>50.0</v>
      </c>
    </row>
    <row r="347">
      <c r="A347" s="82" t="s">
        <v>509</v>
      </c>
      <c r="B347" s="83">
        <v>47.0</v>
      </c>
    </row>
    <row r="348">
      <c r="A348" s="82" t="s">
        <v>508</v>
      </c>
      <c r="B348" s="83">
        <v>34.0</v>
      </c>
    </row>
    <row r="349">
      <c r="A349" s="82" t="s">
        <v>491</v>
      </c>
      <c r="B349" s="83">
        <v>193.0</v>
      </c>
    </row>
    <row r="350">
      <c r="A350" s="82" t="s">
        <v>662</v>
      </c>
      <c r="B350" s="83">
        <v>24.0</v>
      </c>
    </row>
    <row r="351">
      <c r="A351" s="82" t="s">
        <v>664</v>
      </c>
      <c r="B351" s="83">
        <v>8.0</v>
      </c>
    </row>
    <row r="352">
      <c r="A352" s="82" t="s">
        <v>666</v>
      </c>
      <c r="B352" s="83">
        <v>11.0</v>
      </c>
    </row>
    <row r="353">
      <c r="A353" s="82" t="s">
        <v>682</v>
      </c>
      <c r="B353" s="83">
        <v>20.0</v>
      </c>
    </row>
    <row r="354">
      <c r="A354" s="82" t="s">
        <v>684</v>
      </c>
      <c r="B354" s="83">
        <v>60.0</v>
      </c>
    </row>
    <row r="355">
      <c r="A355" s="82" t="s">
        <v>686</v>
      </c>
      <c r="B355" s="83">
        <v>7.0</v>
      </c>
    </row>
    <row r="356">
      <c r="A356" s="82" t="s">
        <v>679</v>
      </c>
      <c r="B356" s="83">
        <v>27.0</v>
      </c>
    </row>
    <row r="357">
      <c r="A357" s="89" t="s">
        <v>219</v>
      </c>
      <c r="B357" s="83">
        <v>161.0</v>
      </c>
    </row>
    <row r="358">
      <c r="A358" s="89" t="s">
        <v>212</v>
      </c>
      <c r="B358" s="83">
        <v>678.0</v>
      </c>
    </row>
    <row r="359">
      <c r="A359" s="89" t="s">
        <v>215</v>
      </c>
      <c r="B359" s="83">
        <v>8.0</v>
      </c>
    </row>
    <row r="360">
      <c r="A360" s="89" t="s">
        <v>216</v>
      </c>
      <c r="B360" s="83">
        <v>318.0</v>
      </c>
    </row>
    <row r="361">
      <c r="A361" s="89" t="s">
        <v>226</v>
      </c>
      <c r="B361" s="83" t="s">
        <v>774</v>
      </c>
    </row>
    <row r="362">
      <c r="A362" s="89" t="s">
        <v>223</v>
      </c>
      <c r="B362" s="83">
        <v>173.0</v>
      </c>
    </row>
    <row r="363">
      <c r="A363" s="89" t="s">
        <v>15</v>
      </c>
      <c r="B363" s="83">
        <v>104.0</v>
      </c>
    </row>
    <row r="364">
      <c r="A364" s="89" t="s">
        <v>16</v>
      </c>
      <c r="B364" s="83">
        <v>391.0</v>
      </c>
    </row>
    <row r="365">
      <c r="A365" s="89" t="s">
        <v>19</v>
      </c>
      <c r="B365" s="83">
        <v>131.0</v>
      </c>
    </row>
    <row r="366">
      <c r="A366" s="89" t="s">
        <v>481</v>
      </c>
      <c r="B366" s="83">
        <v>79.0</v>
      </c>
    </row>
    <row r="367">
      <c r="A367" s="89" t="s">
        <v>356</v>
      </c>
      <c r="B367" s="83">
        <v>289.0</v>
      </c>
    </row>
    <row r="368">
      <c r="A368" s="89" t="s">
        <v>353</v>
      </c>
      <c r="B368" s="83">
        <v>220.0</v>
      </c>
    </row>
    <row r="369">
      <c r="A369" s="89" t="s">
        <v>349</v>
      </c>
      <c r="B369" s="83">
        <v>79.0</v>
      </c>
    </row>
    <row r="370">
      <c r="A370" s="89" t="s">
        <v>155</v>
      </c>
      <c r="B370" s="83">
        <v>18.0</v>
      </c>
    </row>
    <row r="371">
      <c r="A371" s="89" t="s">
        <v>425</v>
      </c>
      <c r="B371" s="83">
        <v>60.0</v>
      </c>
    </row>
    <row r="372">
      <c r="A372" s="89" t="s">
        <v>499</v>
      </c>
      <c r="B372" s="83">
        <v>87.0</v>
      </c>
    </row>
    <row r="373">
      <c r="A373" s="89" t="s">
        <v>172</v>
      </c>
      <c r="B373" s="83">
        <v>18.0</v>
      </c>
    </row>
    <row r="374">
      <c r="A374" s="89" t="s">
        <v>200</v>
      </c>
      <c r="B374" s="83">
        <v>27.0</v>
      </c>
    </row>
    <row r="375">
      <c r="A375" s="89" t="s">
        <v>235</v>
      </c>
      <c r="B375" s="83">
        <v>1550.0</v>
      </c>
    </row>
    <row r="376">
      <c r="A376" s="89" t="s">
        <v>205</v>
      </c>
      <c r="B376" s="83">
        <v>19.0</v>
      </c>
    </row>
    <row r="377">
      <c r="A377" s="89" t="s">
        <v>424</v>
      </c>
      <c r="B377" s="83">
        <v>20.0</v>
      </c>
    </row>
    <row r="378">
      <c r="A378" s="89" t="s">
        <v>459</v>
      </c>
      <c r="B378" s="83">
        <v>135.0</v>
      </c>
    </row>
    <row r="379">
      <c r="A379" s="89" t="s">
        <v>516</v>
      </c>
      <c r="B379" s="83">
        <v>23.0</v>
      </c>
    </row>
    <row r="380">
      <c r="A380" s="89" t="s">
        <v>775</v>
      </c>
      <c r="B380" s="83" t="s">
        <v>774</v>
      </c>
    </row>
    <row r="381">
      <c r="A381" s="89" t="s">
        <v>680</v>
      </c>
      <c r="B381" s="83">
        <v>20.0</v>
      </c>
    </row>
    <row r="382">
      <c r="A382" s="89" t="s">
        <v>753</v>
      </c>
      <c r="B382" s="83">
        <v>45.0</v>
      </c>
    </row>
    <row r="383">
      <c r="A383" s="89" t="s">
        <v>247</v>
      </c>
      <c r="B383" s="83">
        <v>154.0</v>
      </c>
    </row>
    <row r="384">
      <c r="A384" s="89" t="s">
        <v>389</v>
      </c>
      <c r="B384" s="83">
        <v>1.0</v>
      </c>
    </row>
    <row r="385">
      <c r="A385" s="89" t="s">
        <v>163</v>
      </c>
      <c r="B385" s="83">
        <v>264.0</v>
      </c>
    </row>
    <row r="386">
      <c r="A386" s="89" t="s">
        <v>642</v>
      </c>
      <c r="B386" s="83" t="s">
        <v>774</v>
      </c>
    </row>
    <row r="387">
      <c r="A387" s="89" t="s">
        <v>608</v>
      </c>
      <c r="B387" s="83">
        <v>170.0</v>
      </c>
    </row>
    <row r="388">
      <c r="A388" s="89" t="s">
        <v>655</v>
      </c>
      <c r="B388" s="83" t="s">
        <v>774</v>
      </c>
    </row>
    <row r="389">
      <c r="A389" s="89" t="s">
        <v>229</v>
      </c>
      <c r="B389" s="83">
        <v>180.0</v>
      </c>
    </row>
    <row r="390">
      <c r="A390" s="89" t="s">
        <v>433</v>
      </c>
      <c r="B390" s="83">
        <v>97.0</v>
      </c>
    </row>
    <row r="391">
      <c r="A391" s="89" t="s">
        <v>213</v>
      </c>
      <c r="B391" s="83">
        <v>345.0</v>
      </c>
    </row>
    <row r="392">
      <c r="A392" s="89" t="s">
        <v>47</v>
      </c>
      <c r="B392" s="83">
        <v>10.0</v>
      </c>
    </row>
    <row r="393">
      <c r="A393" s="89" t="s">
        <v>43</v>
      </c>
      <c r="B393" s="83">
        <v>20.0</v>
      </c>
    </row>
    <row r="394">
      <c r="A394" s="89" t="s">
        <v>456</v>
      </c>
      <c r="B394" s="83">
        <v>154.0</v>
      </c>
    </row>
    <row r="395">
      <c r="A395" s="89" t="s">
        <v>465</v>
      </c>
      <c r="B395" s="83">
        <v>156.0</v>
      </c>
    </row>
    <row r="396">
      <c r="A396" s="89" t="s">
        <v>113</v>
      </c>
      <c r="B396" s="83">
        <v>51.0</v>
      </c>
    </row>
    <row r="397">
      <c r="A397" s="89" t="s">
        <v>10</v>
      </c>
      <c r="B397" s="83">
        <v>17.0</v>
      </c>
    </row>
    <row r="398">
      <c r="A398" s="89" t="s">
        <v>88</v>
      </c>
      <c r="B398" s="83">
        <v>12.0</v>
      </c>
    </row>
    <row r="399">
      <c r="A399" s="89" t="s">
        <v>128</v>
      </c>
      <c r="B399" s="83">
        <v>152.0</v>
      </c>
    </row>
    <row r="400">
      <c r="A400" s="89" t="s">
        <v>126</v>
      </c>
      <c r="B400" s="83">
        <v>125.0</v>
      </c>
    </row>
    <row r="401">
      <c r="A401" s="89" t="s">
        <v>294</v>
      </c>
      <c r="B401" s="83">
        <v>70.0</v>
      </c>
    </row>
    <row r="402">
      <c r="A402" s="89" t="s">
        <v>455</v>
      </c>
      <c r="B402" s="83">
        <v>61.0</v>
      </c>
    </row>
    <row r="403">
      <c r="A403" s="89" t="s">
        <v>734</v>
      </c>
      <c r="B403" s="83">
        <v>73.0</v>
      </c>
    </row>
    <row r="404">
      <c r="A404" s="89" t="s">
        <v>497</v>
      </c>
      <c r="B404" s="83">
        <v>35.0</v>
      </c>
    </row>
    <row r="405">
      <c r="A405" s="89" t="s">
        <v>386</v>
      </c>
      <c r="B405" s="83" t="s">
        <v>774</v>
      </c>
    </row>
    <row r="406">
      <c r="A406" s="89" t="s">
        <v>451</v>
      </c>
      <c r="B406" s="83">
        <v>457.0</v>
      </c>
    </row>
    <row r="407">
      <c r="A407" s="89" t="s">
        <v>210</v>
      </c>
      <c r="B407" s="83">
        <v>193.0</v>
      </c>
    </row>
    <row r="408">
      <c r="A408" s="89" t="s">
        <v>45</v>
      </c>
      <c r="B408" s="83">
        <v>34.0</v>
      </c>
    </row>
    <row r="409">
      <c r="A409" s="89" t="s">
        <v>30</v>
      </c>
      <c r="B409" s="83">
        <v>116.0</v>
      </c>
    </row>
    <row r="410">
      <c r="A410" s="89" t="s">
        <v>539</v>
      </c>
      <c r="B410" s="83">
        <v>39.0</v>
      </c>
    </row>
    <row r="411">
      <c r="A411" s="89" t="s">
        <v>543</v>
      </c>
      <c r="B411" s="83">
        <v>34.0</v>
      </c>
    </row>
    <row r="412">
      <c r="A412" s="89" t="s">
        <v>487</v>
      </c>
      <c r="B412" s="83">
        <v>177.0</v>
      </c>
    </row>
    <row r="413">
      <c r="A413" s="89" t="s">
        <v>178</v>
      </c>
      <c r="B413" s="83" t="s">
        <v>774</v>
      </c>
    </row>
    <row r="414">
      <c r="A414" s="89" t="s">
        <v>160</v>
      </c>
      <c r="B414" s="83" t="s">
        <v>774</v>
      </c>
    </row>
    <row r="415">
      <c r="A415" s="89" t="s">
        <v>170</v>
      </c>
      <c r="B415" s="83" t="s">
        <v>774</v>
      </c>
    </row>
    <row r="416">
      <c r="A416" s="89" t="s">
        <v>165</v>
      </c>
      <c r="B416" s="83" t="s">
        <v>774</v>
      </c>
    </row>
    <row r="417">
      <c r="A417" s="89" t="s">
        <v>526</v>
      </c>
      <c r="B417" s="83">
        <v>20.0</v>
      </c>
    </row>
    <row r="418">
      <c r="A418" s="89" t="s">
        <v>97</v>
      </c>
      <c r="B418" s="83">
        <v>70.0</v>
      </c>
    </row>
    <row r="419">
      <c r="A419" s="89" t="s">
        <v>99</v>
      </c>
      <c r="B419" s="83">
        <v>70.0</v>
      </c>
    </row>
    <row r="420">
      <c r="A420" s="89" t="s">
        <v>25</v>
      </c>
      <c r="B420" s="83">
        <v>82.0</v>
      </c>
    </row>
    <row r="421">
      <c r="A421" s="89" t="s">
        <v>32</v>
      </c>
      <c r="B421" s="83">
        <v>45.0</v>
      </c>
    </row>
    <row r="422">
      <c r="A422" s="89" t="s">
        <v>496</v>
      </c>
      <c r="B422" s="83">
        <v>58.0</v>
      </c>
    </row>
    <row r="423">
      <c r="A423" s="89" t="s">
        <v>741</v>
      </c>
      <c r="B423" s="83">
        <v>116.0</v>
      </c>
    </row>
    <row r="424">
      <c r="A424" s="89" t="s">
        <v>751</v>
      </c>
      <c r="B424" s="83">
        <v>69.0</v>
      </c>
    </row>
    <row r="425">
      <c r="A425" s="89" t="s">
        <v>448</v>
      </c>
      <c r="B425" s="83">
        <v>599.0</v>
      </c>
    </row>
    <row r="426">
      <c r="A426" s="89" t="s">
        <v>26</v>
      </c>
      <c r="B426" s="83">
        <v>87.0</v>
      </c>
    </row>
    <row r="427">
      <c r="A427" s="89" t="s">
        <v>70</v>
      </c>
      <c r="B427" s="83">
        <v>56.0</v>
      </c>
    </row>
    <row r="428">
      <c r="A428" s="89" t="s">
        <v>122</v>
      </c>
      <c r="B428" s="83">
        <v>7.0</v>
      </c>
    </row>
    <row r="429">
      <c r="A429" s="89" t="s">
        <v>574</v>
      </c>
      <c r="B429" s="83">
        <v>8.0</v>
      </c>
    </row>
    <row r="430">
      <c r="A430" s="89" t="s">
        <v>420</v>
      </c>
      <c r="B430" s="83">
        <v>60.0</v>
      </c>
    </row>
    <row r="431">
      <c r="A431" s="89" t="s">
        <v>18</v>
      </c>
      <c r="B431" s="83">
        <v>151.0</v>
      </c>
    </row>
    <row r="432">
      <c r="A432" s="89" t="s">
        <v>409</v>
      </c>
      <c r="B432" s="83">
        <v>45.0</v>
      </c>
    </row>
    <row r="433">
      <c r="A433" s="89" t="s">
        <v>410</v>
      </c>
      <c r="B433" s="83">
        <v>45.0</v>
      </c>
    </row>
    <row r="434">
      <c r="A434" s="89" t="s">
        <v>391</v>
      </c>
      <c r="B434" s="83">
        <v>33.0</v>
      </c>
    </row>
    <row r="435">
      <c r="A435" s="89" t="s">
        <v>392</v>
      </c>
      <c r="B435" s="83">
        <v>45.0</v>
      </c>
    </row>
    <row r="436">
      <c r="A436" s="89" t="s">
        <v>393</v>
      </c>
      <c r="B436" s="83">
        <v>26.0</v>
      </c>
    </row>
    <row r="437">
      <c r="A437" s="89" t="s">
        <v>394</v>
      </c>
      <c r="B437" s="83">
        <v>30.0</v>
      </c>
    </row>
    <row r="438">
      <c r="A438" s="89" t="s">
        <v>397</v>
      </c>
      <c r="B438" s="83">
        <v>16.0</v>
      </c>
    </row>
    <row r="439">
      <c r="A439" s="89" t="s">
        <v>398</v>
      </c>
      <c r="B439" s="83">
        <v>24.0</v>
      </c>
    </row>
    <row r="440">
      <c r="A440" s="89" t="s">
        <v>402</v>
      </c>
      <c r="B440" s="83">
        <v>16.0</v>
      </c>
    </row>
    <row r="441">
      <c r="A441" s="89" t="s">
        <v>403</v>
      </c>
      <c r="B441" s="83">
        <v>9.0</v>
      </c>
    </row>
    <row r="442">
      <c r="A442" s="89" t="s">
        <v>404</v>
      </c>
      <c r="B442" s="83">
        <v>12.0</v>
      </c>
    </row>
    <row r="443">
      <c r="A443" s="89" t="s">
        <v>405</v>
      </c>
      <c r="B443" s="83">
        <v>10.0</v>
      </c>
    </row>
    <row r="444">
      <c r="A444" s="89" t="s">
        <v>407</v>
      </c>
      <c r="B444" s="83">
        <v>9.0</v>
      </c>
    </row>
    <row r="445">
      <c r="A445" s="89" t="s">
        <v>408</v>
      </c>
      <c r="B445" s="83">
        <v>8.0</v>
      </c>
    </row>
    <row r="446">
      <c r="A446" s="89" t="s">
        <v>395</v>
      </c>
      <c r="B446" s="83">
        <v>6.0</v>
      </c>
    </row>
    <row r="447">
      <c r="A447" s="89" t="s">
        <v>396</v>
      </c>
      <c r="B447" s="83">
        <v>6.0</v>
      </c>
    </row>
    <row r="448">
      <c r="A448" s="89" t="s">
        <v>400</v>
      </c>
      <c r="B448" s="83" t="s">
        <v>774</v>
      </c>
    </row>
    <row r="449">
      <c r="A449" s="89" t="s">
        <v>401</v>
      </c>
      <c r="B449" s="83">
        <v>2.0</v>
      </c>
    </row>
    <row r="450">
      <c r="A450" s="89" t="s">
        <v>190</v>
      </c>
      <c r="B450" s="83">
        <v>51.0</v>
      </c>
    </row>
    <row r="451">
      <c r="A451" s="89" t="s">
        <v>185</v>
      </c>
      <c r="B451" s="83">
        <v>22.0</v>
      </c>
    </row>
    <row r="452">
      <c r="A452" s="89" t="s">
        <v>529</v>
      </c>
      <c r="B452" s="83">
        <v>9.0</v>
      </c>
    </row>
    <row r="453">
      <c r="A453" s="89" t="s">
        <v>330</v>
      </c>
      <c r="B453" s="83">
        <v>15.0</v>
      </c>
    </row>
    <row r="454">
      <c r="A454" s="89" t="s">
        <v>189</v>
      </c>
      <c r="B454" s="83">
        <v>22.0</v>
      </c>
    </row>
    <row r="455">
      <c r="A455" s="89" t="s">
        <v>296</v>
      </c>
      <c r="B455" s="83">
        <v>86.0</v>
      </c>
    </row>
    <row r="456">
      <c r="A456" s="89" t="s">
        <v>27</v>
      </c>
      <c r="B456" s="83">
        <v>84.0</v>
      </c>
    </row>
    <row r="457">
      <c r="A457" s="89" t="s">
        <v>696</v>
      </c>
      <c r="B457" s="83">
        <v>40.0</v>
      </c>
    </row>
    <row r="458">
      <c r="A458" s="89" t="s">
        <v>697</v>
      </c>
      <c r="B458" s="83">
        <v>34.0</v>
      </c>
    </row>
    <row r="459">
      <c r="A459" s="89" t="s">
        <v>698</v>
      </c>
      <c r="B459" s="83">
        <v>40.0</v>
      </c>
    </row>
    <row r="460">
      <c r="A460" s="89" t="s">
        <v>699</v>
      </c>
      <c r="B460" s="83">
        <v>40.0</v>
      </c>
    </row>
    <row r="461">
      <c r="A461" s="89" t="s">
        <v>708</v>
      </c>
      <c r="B461" s="83">
        <v>28.0</v>
      </c>
    </row>
    <row r="462">
      <c r="A462" s="89" t="s">
        <v>709</v>
      </c>
      <c r="B462" s="83">
        <v>14.0</v>
      </c>
    </row>
    <row r="463">
      <c r="A463" s="89" t="s">
        <v>710</v>
      </c>
      <c r="B463" s="83">
        <v>32.0</v>
      </c>
    </row>
    <row r="464">
      <c r="A464" s="89" t="s">
        <v>711</v>
      </c>
      <c r="B464" s="83">
        <v>32.0</v>
      </c>
    </row>
    <row r="465">
      <c r="A465" s="89" t="s">
        <v>716</v>
      </c>
      <c r="B465" s="83">
        <v>24.0</v>
      </c>
    </row>
    <row r="466">
      <c r="A466" s="89" t="s">
        <v>717</v>
      </c>
      <c r="B466" s="83">
        <v>14.0</v>
      </c>
    </row>
    <row r="467">
      <c r="A467" s="89" t="s">
        <v>718</v>
      </c>
      <c r="B467" s="83">
        <v>24.0</v>
      </c>
    </row>
    <row r="468">
      <c r="A468" s="89" t="s">
        <v>719</v>
      </c>
      <c r="B468" s="83">
        <v>24.0</v>
      </c>
    </row>
    <row r="469">
      <c r="A469" s="89" t="s">
        <v>688</v>
      </c>
      <c r="B469" s="83">
        <v>48.0</v>
      </c>
    </row>
    <row r="470">
      <c r="A470" s="89" t="s">
        <v>689</v>
      </c>
      <c r="B470" s="83">
        <v>48.0</v>
      </c>
    </row>
    <row r="471">
      <c r="A471" s="89" t="s">
        <v>690</v>
      </c>
      <c r="B471" s="83">
        <v>48.0</v>
      </c>
    </row>
    <row r="472">
      <c r="A472" s="89" t="s">
        <v>691</v>
      </c>
      <c r="B472" s="83">
        <v>48.0</v>
      </c>
    </row>
    <row r="473">
      <c r="A473" s="89" t="s">
        <v>724</v>
      </c>
      <c r="B473" s="83" t="s">
        <v>774</v>
      </c>
    </row>
    <row r="474">
      <c r="A474" s="89" t="s">
        <v>725</v>
      </c>
      <c r="B474" s="83" t="s">
        <v>774</v>
      </c>
    </row>
    <row r="475">
      <c r="A475" s="89" t="s">
        <v>726</v>
      </c>
      <c r="B475" s="83">
        <v>12.0</v>
      </c>
    </row>
    <row r="476">
      <c r="A476" s="89" t="s">
        <v>727</v>
      </c>
      <c r="B476" s="83">
        <v>10.0</v>
      </c>
    </row>
    <row r="477">
      <c r="A477" s="89" t="s">
        <v>176</v>
      </c>
      <c r="B477" s="83">
        <v>22.0</v>
      </c>
    </row>
    <row r="478">
      <c r="A478" s="89" t="s">
        <v>604</v>
      </c>
      <c r="B478" s="83">
        <v>23.0</v>
      </c>
    </row>
    <row r="479">
      <c r="A479" s="89" t="s">
        <v>746</v>
      </c>
      <c r="B479" s="83">
        <v>29.0</v>
      </c>
    </row>
    <row r="480">
      <c r="A480" s="89" t="s">
        <v>752</v>
      </c>
      <c r="B480" s="83">
        <v>18.0</v>
      </c>
    </row>
    <row r="481">
      <c r="A481" s="89" t="s">
        <v>61</v>
      </c>
      <c r="B481" s="83">
        <v>1.0</v>
      </c>
    </row>
    <row r="482">
      <c r="A482" s="89" t="s">
        <v>214</v>
      </c>
      <c r="B482" s="83">
        <v>690.0</v>
      </c>
    </row>
    <row r="483">
      <c r="A483" s="89" t="s">
        <v>253</v>
      </c>
      <c r="B483" s="83">
        <v>19.0</v>
      </c>
    </row>
    <row r="484">
      <c r="A484" s="89" t="s">
        <v>610</v>
      </c>
      <c r="B484" s="83">
        <v>8.0</v>
      </c>
    </row>
    <row r="485">
      <c r="A485" s="89" t="s">
        <v>292</v>
      </c>
      <c r="B485" s="83">
        <v>44.0</v>
      </c>
    </row>
    <row r="486">
      <c r="A486" s="89" t="s">
        <v>672</v>
      </c>
      <c r="B486" s="83">
        <v>26.0</v>
      </c>
    </row>
    <row r="487">
      <c r="A487" s="89" t="s">
        <v>732</v>
      </c>
      <c r="B487" s="83">
        <v>119.0</v>
      </c>
    </row>
    <row r="488">
      <c r="A488" s="89" t="s">
        <v>21</v>
      </c>
      <c r="B488" s="83" t="s">
        <v>774</v>
      </c>
    </row>
    <row r="489">
      <c r="A489" s="89" t="s">
        <v>23</v>
      </c>
      <c r="B489" s="83">
        <v>160.0</v>
      </c>
    </row>
    <row r="490">
      <c r="A490" s="89" t="s">
        <v>607</v>
      </c>
      <c r="B490" s="83">
        <v>4.0</v>
      </c>
    </row>
    <row r="491">
      <c r="A491" s="89" t="s">
        <v>272</v>
      </c>
      <c r="B491" s="83">
        <v>21.0</v>
      </c>
    </row>
    <row r="492">
      <c r="A492" s="89" t="s">
        <v>579</v>
      </c>
      <c r="B492" s="83" t="s">
        <v>774</v>
      </c>
    </row>
    <row r="493">
      <c r="A493" s="89" t="s">
        <v>192</v>
      </c>
      <c r="B493" s="83">
        <v>18.0</v>
      </c>
    </row>
    <row r="494">
      <c r="A494" s="89" t="s">
        <v>193</v>
      </c>
      <c r="B494" s="83">
        <v>13.0</v>
      </c>
    </row>
    <row r="495">
      <c r="A495" s="89" t="s">
        <v>33</v>
      </c>
      <c r="B495" s="83">
        <v>60.0</v>
      </c>
    </row>
    <row r="496">
      <c r="A496" s="89" t="s">
        <v>173</v>
      </c>
      <c r="B496" s="83">
        <v>2.0</v>
      </c>
    </row>
    <row r="497">
      <c r="A497" s="89" t="s">
        <v>441</v>
      </c>
      <c r="B497" s="83" t="s">
        <v>774</v>
      </c>
    </row>
    <row r="498">
      <c r="A498" s="89" t="s">
        <v>211</v>
      </c>
      <c r="B498" s="83" t="s">
        <v>774</v>
      </c>
    </row>
    <row r="499">
      <c r="A499" s="89" t="s">
        <v>116</v>
      </c>
      <c r="B499" s="83">
        <v>45.0</v>
      </c>
    </row>
    <row r="500">
      <c r="A500" s="89" t="s">
        <v>354</v>
      </c>
      <c r="B500" s="83" t="s">
        <v>774</v>
      </c>
    </row>
    <row r="501">
      <c r="A501" s="89" t="s">
        <v>514</v>
      </c>
      <c r="B501" s="83">
        <v>15.0</v>
      </c>
    </row>
    <row r="502">
      <c r="A502" s="89" t="s">
        <v>517</v>
      </c>
      <c r="B502" s="83">
        <v>5.0</v>
      </c>
    </row>
    <row r="503">
      <c r="A503" s="89" t="s">
        <v>367</v>
      </c>
      <c r="B503" s="83" t="s">
        <v>774</v>
      </c>
    </row>
    <row r="504">
      <c r="A504" s="89" t="s">
        <v>98</v>
      </c>
      <c r="B504" s="83">
        <v>62.0</v>
      </c>
    </row>
    <row r="505">
      <c r="A505" s="89" t="s">
        <v>109</v>
      </c>
      <c r="B505" s="83">
        <v>83.0</v>
      </c>
    </row>
    <row r="506">
      <c r="A506" s="89" t="s">
        <v>323</v>
      </c>
      <c r="B506" s="83">
        <v>30.0</v>
      </c>
    </row>
    <row r="507">
      <c r="A507" s="89" t="s">
        <v>87</v>
      </c>
      <c r="B507" s="83">
        <v>16.0</v>
      </c>
    </row>
    <row r="508">
      <c r="A508" s="89" t="s">
        <v>605</v>
      </c>
      <c r="B508" s="83">
        <v>23.0</v>
      </c>
    </row>
    <row r="509">
      <c r="A509" s="89" t="s">
        <v>606</v>
      </c>
      <c r="B509" s="83">
        <v>15.0</v>
      </c>
    </row>
    <row r="510">
      <c r="A510" s="89" t="s">
        <v>603</v>
      </c>
      <c r="B510" s="83">
        <v>14.0</v>
      </c>
    </row>
    <row r="511">
      <c r="A511" s="89" t="s">
        <v>311</v>
      </c>
      <c r="B511" s="83">
        <v>23.0</v>
      </c>
    </row>
    <row r="512">
      <c r="A512" s="89" t="s">
        <v>177</v>
      </c>
      <c r="B512" s="83">
        <v>56.0</v>
      </c>
    </row>
    <row r="513">
      <c r="A513" s="89" t="s">
        <v>161</v>
      </c>
      <c r="B513" s="83">
        <v>11.0</v>
      </c>
    </row>
    <row r="514">
      <c r="A514" s="89" t="s">
        <v>167</v>
      </c>
      <c r="B514" s="83">
        <v>7.0</v>
      </c>
    </row>
    <row r="515">
      <c r="A515" s="89" t="s">
        <v>171</v>
      </c>
      <c r="B515" s="83">
        <v>6.0</v>
      </c>
    </row>
    <row r="516">
      <c r="A516" s="89" t="s">
        <v>368</v>
      </c>
      <c r="B516" s="83">
        <v>3.0</v>
      </c>
    </row>
    <row r="517">
      <c r="A517" s="89" t="s">
        <v>650</v>
      </c>
      <c r="B517" s="83" t="s">
        <v>774</v>
      </c>
    </row>
    <row r="518">
      <c r="A518" s="89" t="s">
        <v>444</v>
      </c>
      <c r="B518" s="83" t="s">
        <v>774</v>
      </c>
    </row>
    <row r="519">
      <c r="A519" s="89" t="s">
        <v>449</v>
      </c>
      <c r="B519" s="83">
        <v>84.0</v>
      </c>
    </row>
    <row r="520">
      <c r="A520" s="89" t="s">
        <v>736</v>
      </c>
      <c r="B520" s="83">
        <v>86.0</v>
      </c>
    </row>
    <row r="521">
      <c r="A521" s="89" t="s">
        <v>381</v>
      </c>
      <c r="B521" s="83">
        <v>30.0</v>
      </c>
    </row>
    <row r="522">
      <c r="A522" s="89" t="s">
        <v>220</v>
      </c>
      <c r="B522" s="83" t="s">
        <v>774</v>
      </c>
    </row>
    <row r="523">
      <c r="A523" s="89" t="s">
        <v>520</v>
      </c>
      <c r="B523" s="83" t="s">
        <v>774</v>
      </c>
    </row>
    <row r="524">
      <c r="A524" s="89" t="s">
        <v>521</v>
      </c>
      <c r="B524" s="83" t="s">
        <v>774</v>
      </c>
    </row>
    <row r="525">
      <c r="A525" s="89" t="s">
        <v>523</v>
      </c>
      <c r="B525" s="83" t="s">
        <v>774</v>
      </c>
    </row>
    <row r="526">
      <c r="A526" s="89" t="s">
        <v>755</v>
      </c>
      <c r="B526" s="83">
        <v>24.0</v>
      </c>
    </row>
    <row r="527">
      <c r="A527" s="89" t="s">
        <v>756</v>
      </c>
      <c r="B527" s="83">
        <v>24.0</v>
      </c>
    </row>
    <row r="528">
      <c r="A528" s="89" t="s">
        <v>757</v>
      </c>
      <c r="B528" s="83">
        <v>24.0</v>
      </c>
    </row>
    <row r="529">
      <c r="A529" s="89" t="s">
        <v>758</v>
      </c>
      <c r="B529" s="83">
        <v>24.0</v>
      </c>
    </row>
    <row r="530">
      <c r="A530" s="89" t="s">
        <v>759</v>
      </c>
      <c r="B530" s="83">
        <v>16.0</v>
      </c>
    </row>
    <row r="531">
      <c r="A531" s="89" t="s">
        <v>760</v>
      </c>
      <c r="B531" s="83">
        <v>3.0</v>
      </c>
    </row>
    <row r="532">
      <c r="A532" s="89" t="s">
        <v>761</v>
      </c>
      <c r="B532" s="83">
        <v>16.0</v>
      </c>
    </row>
    <row r="533">
      <c r="A533" s="89" t="s">
        <v>762</v>
      </c>
      <c r="B533" s="83">
        <v>16.0</v>
      </c>
    </row>
    <row r="534">
      <c r="A534" s="89" t="s">
        <v>763</v>
      </c>
      <c r="B534" s="83">
        <v>8.0</v>
      </c>
    </row>
    <row r="535">
      <c r="A535" s="89" t="s">
        <v>764</v>
      </c>
      <c r="B535" s="83">
        <v>6.0</v>
      </c>
    </row>
    <row r="536">
      <c r="A536" s="89" t="s">
        <v>765</v>
      </c>
      <c r="B536" s="83">
        <v>9.0</v>
      </c>
    </row>
    <row r="537">
      <c r="A537" s="89" t="s">
        <v>181</v>
      </c>
      <c r="B537" s="83" t="s">
        <v>774</v>
      </c>
    </row>
    <row r="538">
      <c r="A538" s="89" t="s">
        <v>94</v>
      </c>
      <c r="B538" s="83">
        <v>152.0</v>
      </c>
    </row>
    <row r="539">
      <c r="A539" s="89" t="s">
        <v>415</v>
      </c>
      <c r="B539" s="83" t="s">
        <v>774</v>
      </c>
    </row>
    <row r="540">
      <c r="A540" s="89" t="s">
        <v>744</v>
      </c>
      <c r="B540" s="83">
        <v>30.0</v>
      </c>
    </row>
    <row r="541">
      <c r="A541" s="89" t="s">
        <v>81</v>
      </c>
      <c r="B541" s="83">
        <v>32.0</v>
      </c>
    </row>
    <row r="542">
      <c r="A542" s="89" t="s">
        <v>76</v>
      </c>
      <c r="B542" s="83">
        <v>16.0</v>
      </c>
    </row>
    <row r="543">
      <c r="A543" s="89" t="s">
        <v>80</v>
      </c>
      <c r="B543" s="83">
        <v>16.0</v>
      </c>
    </row>
    <row r="544">
      <c r="A544" s="89" t="s">
        <v>85</v>
      </c>
      <c r="B544" s="83">
        <v>12.0</v>
      </c>
    </row>
    <row r="545">
      <c r="A545" s="89" t="s">
        <v>158</v>
      </c>
      <c r="B545" s="83">
        <v>12.0</v>
      </c>
    </row>
    <row r="546">
      <c r="A546" s="89" t="s">
        <v>437</v>
      </c>
      <c r="B546" s="83" t="s">
        <v>774</v>
      </c>
    </row>
    <row r="547">
      <c r="A547" s="89" t="s">
        <v>362</v>
      </c>
      <c r="B547" s="83">
        <v>20.0</v>
      </c>
    </row>
    <row r="548">
      <c r="A548" s="89" t="s">
        <v>285</v>
      </c>
      <c r="B548" s="83" t="s">
        <v>774</v>
      </c>
    </row>
    <row r="549">
      <c r="A549" s="89" t="s">
        <v>467</v>
      </c>
      <c r="B549" s="83">
        <v>36.0</v>
      </c>
    </row>
    <row r="550">
      <c r="A550" s="89" t="s">
        <v>468</v>
      </c>
      <c r="B550" s="83">
        <v>163.0</v>
      </c>
    </row>
    <row r="551">
      <c r="A551" s="89" t="s">
        <v>469</v>
      </c>
      <c r="B551" s="83" t="s">
        <v>774</v>
      </c>
    </row>
    <row r="552">
      <c r="A552" s="89" t="s">
        <v>121</v>
      </c>
      <c r="B552" s="83">
        <v>6.0</v>
      </c>
    </row>
    <row r="553">
      <c r="A553" s="89" t="s">
        <v>249</v>
      </c>
      <c r="B553" s="83">
        <v>29.0</v>
      </c>
    </row>
    <row r="554">
      <c r="A554" s="89" t="s">
        <v>302</v>
      </c>
      <c r="B554" s="83" t="s">
        <v>774</v>
      </c>
    </row>
    <row r="555">
      <c r="A555" s="89" t="s">
        <v>615</v>
      </c>
      <c r="B555" s="83">
        <v>5.0</v>
      </c>
    </row>
    <row r="556">
      <c r="A556" s="89" t="s">
        <v>616</v>
      </c>
      <c r="B556" s="83">
        <v>6.0</v>
      </c>
    </row>
    <row r="557">
      <c r="A557" s="89" t="s">
        <v>476</v>
      </c>
      <c r="B557" s="83" t="s">
        <v>774</v>
      </c>
    </row>
    <row r="558">
      <c r="A558" s="89" t="s">
        <v>188</v>
      </c>
      <c r="B558" s="83">
        <v>49.0</v>
      </c>
    </row>
    <row r="559">
      <c r="A559" s="89" t="s">
        <v>513</v>
      </c>
      <c r="B559" s="83" t="s">
        <v>774</v>
      </c>
    </row>
    <row r="560">
      <c r="A560" s="89" t="s">
        <v>442</v>
      </c>
      <c r="B560" s="83">
        <v>13.0</v>
      </c>
    </row>
    <row r="561">
      <c r="A561" s="89" t="s">
        <v>207</v>
      </c>
      <c r="B561" s="83">
        <v>3.0</v>
      </c>
    </row>
    <row r="562">
      <c r="A562" s="89" t="s">
        <v>657</v>
      </c>
      <c r="B562" s="83" t="s">
        <v>774</v>
      </c>
    </row>
    <row r="563">
      <c r="A563" s="89" t="s">
        <v>252</v>
      </c>
      <c r="B563" s="83">
        <v>36.0</v>
      </c>
    </row>
    <row r="564">
      <c r="A564" s="89" t="s">
        <v>460</v>
      </c>
      <c r="B564" s="83" t="s">
        <v>774</v>
      </c>
    </row>
    <row r="565">
      <c r="A565" s="89" t="s">
        <v>601</v>
      </c>
      <c r="B565" s="83">
        <v>36.0</v>
      </c>
    </row>
    <row r="566">
      <c r="A566" s="89" t="s">
        <v>68</v>
      </c>
      <c r="B566" s="83" t="s">
        <v>774</v>
      </c>
    </row>
    <row r="567">
      <c r="A567" s="89" t="s">
        <v>385</v>
      </c>
      <c r="B567" s="83" t="s">
        <v>774</v>
      </c>
    </row>
    <row r="568">
      <c r="A568" s="89" t="s">
        <v>175</v>
      </c>
      <c r="B568" s="83">
        <v>2.0</v>
      </c>
    </row>
    <row r="569">
      <c r="A569" s="89" t="s">
        <v>596</v>
      </c>
      <c r="B569" s="83">
        <v>100.0</v>
      </c>
    </row>
    <row r="570">
      <c r="A570" s="89" t="s">
        <v>54</v>
      </c>
      <c r="B570" s="83" t="s">
        <v>774</v>
      </c>
    </row>
    <row r="571">
      <c r="A571" s="89" t="s">
        <v>673</v>
      </c>
      <c r="B571" s="83" t="s">
        <v>774</v>
      </c>
    </row>
    <row r="572">
      <c r="A572" s="89" t="s">
        <v>37</v>
      </c>
      <c r="B572" s="83" t="s">
        <v>774</v>
      </c>
    </row>
    <row r="573">
      <c r="A573" s="89" t="s">
        <v>79</v>
      </c>
      <c r="B573" s="83" t="s">
        <v>774</v>
      </c>
    </row>
    <row r="574">
      <c r="A574" s="89" t="s">
        <v>103</v>
      </c>
      <c r="B574" s="83">
        <v>80.0</v>
      </c>
    </row>
    <row r="575">
      <c r="A575" s="89" t="s">
        <v>677</v>
      </c>
      <c r="B575" s="83">
        <v>8.0</v>
      </c>
    </row>
    <row r="576">
      <c r="A576" s="89" t="s">
        <v>515</v>
      </c>
      <c r="B576" s="83">
        <v>15.0</v>
      </c>
    </row>
    <row r="577">
      <c r="A577" s="89" t="s">
        <v>41</v>
      </c>
      <c r="B577" s="83">
        <v>20.0</v>
      </c>
    </row>
    <row r="578">
      <c r="A578" s="89" t="s">
        <v>360</v>
      </c>
      <c r="B578" s="83">
        <v>8.0</v>
      </c>
    </row>
    <row r="579">
      <c r="A579" s="89" t="s">
        <v>363</v>
      </c>
      <c r="B579" s="83">
        <v>12.0</v>
      </c>
    </row>
    <row r="580">
      <c r="A580" s="89" t="s">
        <v>519</v>
      </c>
      <c r="B580" s="83">
        <v>10.0</v>
      </c>
    </row>
    <row r="581">
      <c r="A581" s="89" t="s">
        <v>450</v>
      </c>
      <c r="B581" s="83">
        <v>69.0</v>
      </c>
    </row>
    <row r="582">
      <c r="A582" s="89" t="s">
        <v>524</v>
      </c>
      <c r="B582" s="83" t="s">
        <v>774</v>
      </c>
    </row>
    <row r="583">
      <c r="A583" s="89" t="s">
        <v>244</v>
      </c>
      <c r="B583" s="83">
        <v>26.0</v>
      </c>
    </row>
    <row r="584">
      <c r="A584" s="89" t="s">
        <v>243</v>
      </c>
      <c r="B584" s="83">
        <v>60.0</v>
      </c>
    </row>
    <row r="585">
      <c r="A585" s="89" t="s">
        <v>174</v>
      </c>
      <c r="B585" s="83">
        <v>16.0</v>
      </c>
    </row>
    <row r="586">
      <c r="A586" s="89" t="s">
        <v>776</v>
      </c>
      <c r="B586" s="83">
        <v>24.0</v>
      </c>
    </row>
    <row r="587">
      <c r="A587" s="89" t="s">
        <v>387</v>
      </c>
      <c r="B587" s="83" t="s">
        <v>774</v>
      </c>
    </row>
    <row r="588">
      <c r="A588" s="89" t="s">
        <v>567</v>
      </c>
      <c r="B588" s="83">
        <v>1.0</v>
      </c>
    </row>
    <row r="589">
      <c r="A589" s="89" t="s">
        <v>644</v>
      </c>
      <c r="B589" s="83" t="s">
        <v>774</v>
      </c>
    </row>
    <row r="590">
      <c r="A590" s="89" t="s">
        <v>447</v>
      </c>
      <c r="B590" s="83">
        <v>273.0</v>
      </c>
    </row>
    <row r="591">
      <c r="A591" s="89" t="s">
        <v>106</v>
      </c>
      <c r="B591" s="83">
        <v>45.0</v>
      </c>
    </row>
    <row r="592">
      <c r="A592" s="89" t="s">
        <v>737</v>
      </c>
      <c r="B592" s="83">
        <v>48.0</v>
      </c>
    </row>
    <row r="593">
      <c r="A593" s="89" t="s">
        <v>735</v>
      </c>
      <c r="B593" s="83">
        <v>48.0</v>
      </c>
    </row>
    <row r="594">
      <c r="A594" s="89" t="s">
        <v>738</v>
      </c>
      <c r="B594" s="83">
        <v>16.0</v>
      </c>
    </row>
    <row r="595">
      <c r="A595" s="89" t="s">
        <v>742</v>
      </c>
      <c r="B595" s="83">
        <v>39.0</v>
      </c>
    </row>
    <row r="596">
      <c r="A596" s="89" t="s">
        <v>743</v>
      </c>
      <c r="B596" s="83" t="s">
        <v>774</v>
      </c>
    </row>
    <row r="597">
      <c r="A597" s="89" t="s">
        <v>739</v>
      </c>
      <c r="B597" s="83">
        <v>48.0</v>
      </c>
    </row>
    <row r="598">
      <c r="A598" s="89" t="s">
        <v>740</v>
      </c>
      <c r="B598" s="83">
        <v>16.0</v>
      </c>
    </row>
    <row r="599">
      <c r="A599" s="89" t="s">
        <v>745</v>
      </c>
      <c r="B599" s="83">
        <v>1.0</v>
      </c>
    </row>
    <row r="600">
      <c r="A600" s="89" t="s">
        <v>748</v>
      </c>
      <c r="B600" s="83" t="s">
        <v>774</v>
      </c>
    </row>
    <row r="601">
      <c r="A601" s="89" t="s">
        <v>749</v>
      </c>
      <c r="B601" s="83">
        <v>32.0</v>
      </c>
    </row>
    <row r="602">
      <c r="A602" s="89" t="s">
        <v>777</v>
      </c>
      <c r="B602" s="83">
        <v>32.0</v>
      </c>
    </row>
    <row r="603">
      <c r="A603" s="89" t="s">
        <v>747</v>
      </c>
      <c r="B603" s="83">
        <v>16.0</v>
      </c>
    </row>
    <row r="604">
      <c r="A604" s="89" t="s">
        <v>750</v>
      </c>
      <c r="B604" s="83">
        <v>16.0</v>
      </c>
    </row>
    <row r="605">
      <c r="A605" s="89" t="s">
        <v>733</v>
      </c>
      <c r="B605" s="83">
        <v>24.0</v>
      </c>
    </row>
    <row r="606">
      <c r="A606" s="89" t="s">
        <v>416</v>
      </c>
      <c r="B606" s="83">
        <v>5.0</v>
      </c>
    </row>
    <row r="607">
      <c r="A607" s="89" t="s">
        <v>370</v>
      </c>
      <c r="B607" s="83">
        <v>4.0</v>
      </c>
    </row>
    <row r="608">
      <c r="A608" s="89" t="s">
        <v>475</v>
      </c>
      <c r="B608" s="83" t="s">
        <v>774</v>
      </c>
    </row>
    <row r="609">
      <c r="A609" s="89" t="s">
        <v>149</v>
      </c>
      <c r="B609" s="83" t="s">
        <v>774</v>
      </c>
    </row>
    <row r="610">
      <c r="A610" s="89" t="s">
        <v>383</v>
      </c>
      <c r="B610" s="83" t="s">
        <v>774</v>
      </c>
    </row>
    <row r="611">
      <c r="A611" s="89" t="s">
        <v>151</v>
      </c>
      <c r="B611" s="83" t="s">
        <v>774</v>
      </c>
    </row>
    <row r="612">
      <c r="A612" s="89" t="s">
        <v>501</v>
      </c>
      <c r="B612" s="83" t="s">
        <v>774</v>
      </c>
    </row>
    <row r="613">
      <c r="A613" s="89" t="s">
        <v>778</v>
      </c>
      <c r="B613" s="83" t="s">
        <v>774</v>
      </c>
    </row>
    <row r="614">
      <c r="A614" s="89" t="s">
        <v>463</v>
      </c>
      <c r="B614" s="83" t="s">
        <v>774</v>
      </c>
    </row>
    <row r="615">
      <c r="A615" s="89" t="s">
        <v>262</v>
      </c>
      <c r="B615" s="83" t="s">
        <v>774</v>
      </c>
    </row>
    <row r="616">
      <c r="A616" s="89" t="s">
        <v>51</v>
      </c>
      <c r="B616" s="83" t="s">
        <v>774</v>
      </c>
    </row>
    <row r="617">
      <c r="A617" s="89" t="s">
        <v>52</v>
      </c>
      <c r="B617" s="83" t="s">
        <v>774</v>
      </c>
    </row>
    <row r="618">
      <c r="A618" s="89" t="s">
        <v>84</v>
      </c>
      <c r="B618" s="83">
        <v>16.0</v>
      </c>
    </row>
    <row r="619">
      <c r="A619" s="89" t="s">
        <v>7</v>
      </c>
      <c r="B619" s="83" t="s">
        <v>774</v>
      </c>
    </row>
    <row r="620">
      <c r="A620" s="89" t="s">
        <v>6</v>
      </c>
      <c r="B620" s="83" t="s">
        <v>774</v>
      </c>
    </row>
    <row r="621">
      <c r="A621" s="89" t="s">
        <v>478</v>
      </c>
      <c r="B621" s="83">
        <v>60.0</v>
      </c>
    </row>
    <row r="622">
      <c r="A622" s="89" t="s">
        <v>779</v>
      </c>
      <c r="B622" s="83" t="s">
        <v>774</v>
      </c>
    </row>
    <row r="623">
      <c r="A623" s="89" t="s">
        <v>641</v>
      </c>
      <c r="B623" s="83">
        <v>1.0</v>
      </c>
    </row>
    <row r="624">
      <c r="A624" s="89" t="s">
        <v>609</v>
      </c>
      <c r="B624" s="83">
        <v>10.0</v>
      </c>
    </row>
    <row r="625">
      <c r="A625" s="89" t="s">
        <v>157</v>
      </c>
      <c r="B625" s="83" t="s">
        <v>774</v>
      </c>
    </row>
    <row r="626">
      <c r="A626" s="89" t="s">
        <v>118</v>
      </c>
      <c r="B626" s="83" t="s">
        <v>774</v>
      </c>
    </row>
    <row r="627">
      <c r="A627" s="89" t="s">
        <v>542</v>
      </c>
      <c r="B627" s="83" t="s">
        <v>774</v>
      </c>
    </row>
    <row r="628">
      <c r="A628" s="89" t="s">
        <v>558</v>
      </c>
      <c r="B628" s="83">
        <v>20.0</v>
      </c>
    </row>
    <row r="629">
      <c r="A629" s="89" t="s">
        <v>540</v>
      </c>
      <c r="B629" s="83">
        <v>5.0</v>
      </c>
    </row>
    <row r="630">
      <c r="A630" s="89" t="s">
        <v>602</v>
      </c>
      <c r="B630" s="83" t="s">
        <v>774</v>
      </c>
    </row>
    <row r="631">
      <c r="A631" s="89" t="s">
        <v>227</v>
      </c>
      <c r="B631" s="83">
        <v>190.0</v>
      </c>
    </row>
    <row r="632">
      <c r="A632" s="89" t="s">
        <v>34</v>
      </c>
      <c r="B632" s="83">
        <v>60.0</v>
      </c>
    </row>
    <row r="633">
      <c r="A633" s="89" t="s">
        <v>35</v>
      </c>
      <c r="B633" s="83">
        <v>60.0</v>
      </c>
    </row>
    <row r="634">
      <c r="A634" s="89" t="s">
        <v>36</v>
      </c>
      <c r="B634" s="83">
        <v>60.0</v>
      </c>
    </row>
    <row r="635">
      <c r="A635" s="89" t="s">
        <v>617</v>
      </c>
      <c r="B635" s="83">
        <v>2.0</v>
      </c>
    </row>
    <row r="636">
      <c r="A636" s="89" t="s">
        <v>618</v>
      </c>
      <c r="B636" s="83">
        <v>6.0</v>
      </c>
    </row>
    <row r="637">
      <c r="A637" s="89" t="s">
        <v>611</v>
      </c>
      <c r="B637" s="83">
        <v>12.0</v>
      </c>
    </row>
    <row r="638">
      <c r="A638" s="89" t="s">
        <v>612</v>
      </c>
      <c r="B638" s="83">
        <v>11.0</v>
      </c>
    </row>
    <row r="639">
      <c r="A639" s="89" t="s">
        <v>613</v>
      </c>
      <c r="B639" s="83">
        <v>12.0</v>
      </c>
    </row>
    <row r="640">
      <c r="A640" s="89" t="s">
        <v>614</v>
      </c>
      <c r="B640" s="83">
        <v>12.0</v>
      </c>
    </row>
    <row r="641">
      <c r="A641" s="89" t="s">
        <v>518</v>
      </c>
      <c r="B641" s="83" t="s">
        <v>774</v>
      </c>
    </row>
    <row r="642">
      <c r="A642" s="89" t="s">
        <v>533</v>
      </c>
      <c r="B642" s="83">
        <v>21.0</v>
      </c>
    </row>
    <row r="643">
      <c r="A643" s="91" t="s">
        <v>369</v>
      </c>
      <c r="B643" s="92" t="s">
        <v>774</v>
      </c>
    </row>
    <row r="644">
      <c r="A644" s="91" t="s">
        <v>780</v>
      </c>
      <c r="B644" s="92">
        <v>10.0</v>
      </c>
    </row>
    <row r="645">
      <c r="A645" s="91" t="s">
        <v>470</v>
      </c>
      <c r="B645" s="92" t="s">
        <v>774</v>
      </c>
    </row>
    <row r="646">
      <c r="A646" s="91" t="s">
        <v>471</v>
      </c>
      <c r="B646" s="92" t="s">
        <v>774</v>
      </c>
    </row>
    <row r="647">
      <c r="A647" s="91" t="s">
        <v>472</v>
      </c>
      <c r="B647" s="92" t="s">
        <v>774</v>
      </c>
    </row>
    <row r="648">
      <c r="A648" s="91" t="s">
        <v>473</v>
      </c>
      <c r="B648" s="92" t="s">
        <v>774</v>
      </c>
    </row>
    <row r="649">
      <c r="A649" s="91" t="s">
        <v>482</v>
      </c>
      <c r="B649" s="92" t="s">
        <v>774</v>
      </c>
    </row>
    <row r="650">
      <c r="A650" s="91" t="s">
        <v>553</v>
      </c>
      <c r="B650" s="92" t="s">
        <v>774</v>
      </c>
    </row>
    <row r="651">
      <c r="A651" s="91" t="s">
        <v>659</v>
      </c>
      <c r="B651" s="92" t="s">
        <v>774</v>
      </c>
    </row>
    <row r="652">
      <c r="A652" s="91" t="s">
        <v>669</v>
      </c>
      <c r="B652" s="92" t="s">
        <v>774</v>
      </c>
    </row>
    <row r="653">
      <c r="A653" s="91" t="s">
        <v>197</v>
      </c>
      <c r="B653" s="92" t="s">
        <v>774</v>
      </c>
    </row>
    <row r="654">
      <c r="A654" s="91" t="s">
        <v>436</v>
      </c>
      <c r="B654" s="92" t="s">
        <v>774</v>
      </c>
    </row>
    <row r="655">
      <c r="A655" s="91" t="s">
        <v>453</v>
      </c>
      <c r="B655" s="92" t="s">
        <v>774</v>
      </c>
    </row>
    <row r="656">
      <c r="A656" s="91" t="s">
        <v>14</v>
      </c>
      <c r="B656" s="92" t="s">
        <v>774</v>
      </c>
    </row>
    <row r="657">
      <c r="A657" s="91" t="s">
        <v>635</v>
      </c>
      <c r="B657" s="92" t="s">
        <v>774</v>
      </c>
    </row>
    <row r="658">
      <c r="A658" s="91" t="s">
        <v>258</v>
      </c>
      <c r="B658" s="92" t="s">
        <v>774</v>
      </c>
    </row>
    <row r="659">
      <c r="A659" s="91" t="s">
        <v>222</v>
      </c>
      <c r="B659" s="92" t="s">
        <v>774</v>
      </c>
    </row>
    <row r="660">
      <c r="A660" s="91" t="s">
        <v>58</v>
      </c>
      <c r="B660" s="92" t="s">
        <v>774</v>
      </c>
    </row>
    <row r="661">
      <c r="A661" s="91" t="s">
        <v>59</v>
      </c>
      <c r="B661" s="92" t="s">
        <v>774</v>
      </c>
    </row>
    <row r="662">
      <c r="A662" s="91" t="s">
        <v>60</v>
      </c>
      <c r="B662" s="92" t="s">
        <v>774</v>
      </c>
    </row>
    <row r="663">
      <c r="A663" s="91" t="s">
        <v>224</v>
      </c>
      <c r="B663" s="92" t="s">
        <v>774</v>
      </c>
    </row>
    <row r="664">
      <c r="A664" s="91" t="s">
        <v>217</v>
      </c>
      <c r="B664" s="92" t="s">
        <v>774</v>
      </c>
    </row>
    <row r="665">
      <c r="A665" s="91" t="s">
        <v>231</v>
      </c>
      <c r="B665" s="92" t="s">
        <v>774</v>
      </c>
    </row>
    <row r="666">
      <c r="A666" s="91" t="s">
        <v>233</v>
      </c>
      <c r="B666" s="92" t="s">
        <v>774</v>
      </c>
    </row>
    <row r="667">
      <c r="A667" s="91" t="s">
        <v>234</v>
      </c>
      <c r="B667" s="92" t="s">
        <v>774</v>
      </c>
    </row>
    <row r="668">
      <c r="A668" s="91" t="s">
        <v>237</v>
      </c>
      <c r="B668" s="92" t="s">
        <v>774</v>
      </c>
    </row>
    <row r="669">
      <c r="A669" s="91" t="s">
        <v>238</v>
      </c>
      <c r="B669" s="92" t="s">
        <v>774</v>
      </c>
    </row>
    <row r="670">
      <c r="A670" s="91" t="s">
        <v>236</v>
      </c>
      <c r="B670" s="92" t="s">
        <v>774</v>
      </c>
    </row>
    <row r="671">
      <c r="A671" s="91" t="s">
        <v>242</v>
      </c>
      <c r="B671" s="92" t="s">
        <v>774</v>
      </c>
    </row>
    <row r="672">
      <c r="A672" s="91" t="s">
        <v>240</v>
      </c>
      <c r="B672" s="92" t="s">
        <v>774</v>
      </c>
    </row>
    <row r="673">
      <c r="A673" s="91" t="s">
        <v>186</v>
      </c>
      <c r="B673" s="92" t="s">
        <v>774</v>
      </c>
    </row>
    <row r="674">
      <c r="A674" s="91" t="s">
        <v>187</v>
      </c>
      <c r="B674" s="92" t="s">
        <v>774</v>
      </c>
    </row>
    <row r="675">
      <c r="A675" s="91" t="s">
        <v>598</v>
      </c>
      <c r="B675" s="92" t="s">
        <v>774</v>
      </c>
    </row>
    <row r="676">
      <c r="A676" s="91" t="s">
        <v>594</v>
      </c>
      <c r="B676" s="92" t="s">
        <v>774</v>
      </c>
    </row>
    <row r="677">
      <c r="A677" s="91" t="s">
        <v>599</v>
      </c>
      <c r="B677" s="92" t="s">
        <v>774</v>
      </c>
    </row>
    <row r="678">
      <c r="A678" s="91" t="s">
        <v>123</v>
      </c>
      <c r="B678" s="92" t="s">
        <v>774</v>
      </c>
    </row>
    <row r="679">
      <c r="A679" s="91" t="s">
        <v>110</v>
      </c>
      <c r="B679" s="92" t="s">
        <v>774</v>
      </c>
    </row>
    <row r="680">
      <c r="A680" s="93"/>
      <c r="B680" s="92"/>
    </row>
    <row r="681">
      <c r="A681" s="93"/>
      <c r="B681" s="92"/>
    </row>
    <row r="682">
      <c r="A682" s="93"/>
      <c r="B682" s="92"/>
    </row>
    <row r="683">
      <c r="A683" s="93"/>
      <c r="B683" s="92"/>
    </row>
    <row r="684">
      <c r="A684" s="93"/>
      <c r="B684" s="92"/>
    </row>
    <row r="685">
      <c r="A685" s="93"/>
      <c r="B685" s="92"/>
    </row>
    <row r="686">
      <c r="A686" s="94"/>
      <c r="B686" s="92"/>
    </row>
    <row r="687">
      <c r="A687" s="95"/>
      <c r="B687" s="96"/>
    </row>
    <row r="688">
      <c r="A688" s="95"/>
      <c r="B688" s="96"/>
    </row>
    <row r="689">
      <c r="A689" s="95"/>
      <c r="B689" s="97">
        <f>sum(B3:B686)</f>
        <v>64898</v>
      </c>
    </row>
    <row r="690">
      <c r="A690" s="95"/>
      <c r="B690" s="96"/>
    </row>
    <row r="691">
      <c r="A691" s="95"/>
      <c r="B691" s="96"/>
    </row>
    <row r="692">
      <c r="A692" s="72" t="s">
        <v>766</v>
      </c>
      <c r="B692" s="72"/>
    </row>
    <row r="693">
      <c r="A693" s="21" t="s">
        <v>767</v>
      </c>
      <c r="B693" s="21">
        <v>9999.0</v>
      </c>
    </row>
    <row r="694">
      <c r="A694" s="21" t="s">
        <v>768</v>
      </c>
      <c r="B694" s="21">
        <v>9999.0</v>
      </c>
    </row>
    <row r="695">
      <c r="A695" s="21" t="s">
        <v>769</v>
      </c>
      <c r="B695" s="21">
        <v>9999.0</v>
      </c>
    </row>
    <row r="696">
      <c r="A696" s="21" t="s">
        <v>770</v>
      </c>
      <c r="B696" s="21">
        <v>9999.0</v>
      </c>
    </row>
    <row r="697">
      <c r="A697" s="21" t="s">
        <v>771</v>
      </c>
      <c r="B697" s="21">
        <v>9999.0</v>
      </c>
    </row>
    <row r="698">
      <c r="A698" s="95"/>
      <c r="B698" s="95"/>
    </row>
    <row r="699">
      <c r="A699" s="95"/>
      <c r="B699" s="95"/>
    </row>
    <row r="700">
      <c r="A700" s="95"/>
      <c r="B700" s="95"/>
    </row>
    <row r="701">
      <c r="A701" s="95"/>
      <c r="B701" s="95"/>
    </row>
    <row r="702">
      <c r="A702" s="95"/>
      <c r="B702" s="95"/>
    </row>
    <row r="703">
      <c r="A703" s="95"/>
      <c r="B703" s="95"/>
    </row>
    <row r="704">
      <c r="A704" s="95"/>
      <c r="B704" s="95"/>
    </row>
    <row r="705">
      <c r="A705" s="95"/>
      <c r="B705" s="95"/>
    </row>
    <row r="706">
      <c r="A706" s="95"/>
      <c r="B706" s="95"/>
    </row>
    <row r="707">
      <c r="A707" s="95"/>
      <c r="B707" s="95"/>
    </row>
    <row r="708">
      <c r="A708" s="95"/>
      <c r="B708" s="95"/>
    </row>
    <row r="709">
      <c r="A709" s="95"/>
      <c r="B709" s="95"/>
    </row>
    <row r="710">
      <c r="A710" s="95"/>
      <c r="B710" s="95"/>
    </row>
    <row r="711">
      <c r="A711" s="95"/>
      <c r="B711" s="95"/>
    </row>
    <row r="712">
      <c r="A712" s="95"/>
      <c r="B712" s="95"/>
    </row>
    <row r="713">
      <c r="A713" s="95"/>
      <c r="B713" s="95"/>
    </row>
    <row r="714">
      <c r="A714" s="95"/>
      <c r="B714" s="95"/>
    </row>
    <row r="715">
      <c r="A715" s="95"/>
      <c r="B715" s="95"/>
    </row>
    <row r="716">
      <c r="A716" s="95"/>
      <c r="B716" s="95"/>
    </row>
    <row r="717">
      <c r="A717" s="95"/>
      <c r="B717" s="95"/>
    </row>
    <row r="718">
      <c r="A718" s="95"/>
      <c r="B718" s="95"/>
    </row>
    <row r="719">
      <c r="A719" s="95"/>
      <c r="B719" s="95"/>
    </row>
    <row r="720">
      <c r="A720" s="95"/>
      <c r="B720" s="95"/>
    </row>
    <row r="721">
      <c r="A721" s="95"/>
      <c r="B721" s="95"/>
    </row>
    <row r="722">
      <c r="A722" s="95"/>
      <c r="B722" s="95"/>
    </row>
    <row r="723">
      <c r="A723" s="95"/>
      <c r="B723" s="95"/>
    </row>
    <row r="724">
      <c r="A724" s="95"/>
      <c r="B724" s="95"/>
    </row>
    <row r="725">
      <c r="A725" s="95"/>
      <c r="B725" s="95"/>
    </row>
    <row r="726">
      <c r="A726" s="95"/>
      <c r="B726" s="95"/>
    </row>
    <row r="727">
      <c r="A727" s="95"/>
      <c r="B727" s="95"/>
    </row>
    <row r="728">
      <c r="A728" s="95"/>
      <c r="B728" s="95"/>
    </row>
    <row r="729">
      <c r="A729" s="95"/>
      <c r="B729" s="95"/>
    </row>
    <row r="730">
      <c r="A730" s="95"/>
      <c r="B730" s="95"/>
    </row>
    <row r="731">
      <c r="A731" s="95"/>
      <c r="B731" s="95"/>
    </row>
    <row r="732">
      <c r="A732" s="95"/>
      <c r="B732" s="95"/>
    </row>
    <row r="733">
      <c r="A733" s="95"/>
      <c r="B733" s="95"/>
    </row>
    <row r="734">
      <c r="A734" s="95"/>
      <c r="B734" s="95"/>
    </row>
    <row r="735">
      <c r="A735" s="95"/>
      <c r="B735" s="95"/>
    </row>
    <row r="736">
      <c r="A736" s="95"/>
      <c r="B736" s="95"/>
    </row>
    <row r="737">
      <c r="A737" s="95"/>
      <c r="B737" s="95"/>
    </row>
    <row r="738">
      <c r="A738" s="95"/>
      <c r="B738" s="95"/>
    </row>
    <row r="739">
      <c r="A739" s="95"/>
      <c r="B739" s="95"/>
    </row>
    <row r="740">
      <c r="A740" s="95"/>
      <c r="B740" s="95"/>
    </row>
    <row r="741">
      <c r="A741" s="95"/>
      <c r="B741" s="95"/>
    </row>
    <row r="742">
      <c r="A742" s="95"/>
      <c r="B742" s="95"/>
    </row>
    <row r="743">
      <c r="A743" s="95"/>
      <c r="B743" s="95"/>
    </row>
    <row r="744">
      <c r="A744" s="95"/>
      <c r="B744" s="95"/>
    </row>
    <row r="745">
      <c r="A745" s="95"/>
      <c r="B745" s="95"/>
    </row>
    <row r="746">
      <c r="A746" s="95"/>
      <c r="B746" s="95"/>
    </row>
    <row r="747">
      <c r="A747" s="95"/>
      <c r="B747" s="95"/>
    </row>
    <row r="748">
      <c r="A748" s="95"/>
      <c r="B748" s="95"/>
    </row>
    <row r="749">
      <c r="A749" s="95"/>
      <c r="B749" s="95"/>
    </row>
    <row r="750">
      <c r="A750" s="95"/>
      <c r="B750" s="95"/>
    </row>
    <row r="751">
      <c r="A751" s="95"/>
      <c r="B751" s="95"/>
    </row>
    <row r="752">
      <c r="A752" s="95"/>
      <c r="B752" s="95"/>
    </row>
    <row r="753">
      <c r="A753" s="95"/>
      <c r="B753" s="95"/>
    </row>
    <row r="754">
      <c r="A754" s="95"/>
      <c r="B754" s="95"/>
    </row>
    <row r="755">
      <c r="A755" s="95"/>
      <c r="B755" s="95"/>
    </row>
    <row r="756">
      <c r="A756" s="95"/>
      <c r="B756" s="95"/>
    </row>
    <row r="757">
      <c r="A757" s="95"/>
      <c r="B757" s="95"/>
    </row>
    <row r="758">
      <c r="A758" s="95"/>
      <c r="B758" s="95"/>
    </row>
    <row r="759">
      <c r="A759" s="95"/>
      <c r="B759" s="95"/>
    </row>
    <row r="760">
      <c r="A760" s="95"/>
      <c r="B760" s="95"/>
    </row>
    <row r="761">
      <c r="A761" s="95"/>
      <c r="B761" s="95"/>
    </row>
    <row r="762">
      <c r="A762" s="95"/>
      <c r="B762" s="95"/>
    </row>
    <row r="763">
      <c r="A763" s="95"/>
      <c r="B763" s="95"/>
    </row>
    <row r="764">
      <c r="A764" s="95"/>
      <c r="B764" s="95"/>
    </row>
    <row r="765">
      <c r="A765" s="95"/>
      <c r="B765" s="95"/>
    </row>
    <row r="766">
      <c r="A766" s="95"/>
      <c r="B766" s="95"/>
    </row>
    <row r="767">
      <c r="A767" s="95"/>
      <c r="B767" s="95"/>
    </row>
    <row r="768">
      <c r="A768" s="95"/>
      <c r="B768" s="95"/>
    </row>
    <row r="769">
      <c r="A769" s="95"/>
      <c r="B769" s="95"/>
    </row>
    <row r="770">
      <c r="A770" s="95"/>
      <c r="B770" s="95"/>
    </row>
    <row r="771">
      <c r="A771" s="95"/>
      <c r="B771" s="95"/>
    </row>
    <row r="772">
      <c r="A772" s="95"/>
      <c r="B772" s="95"/>
    </row>
    <row r="773">
      <c r="A773" s="95"/>
      <c r="B773" s="95"/>
    </row>
    <row r="774">
      <c r="A774" s="95"/>
      <c r="B774" s="95"/>
    </row>
    <row r="775">
      <c r="A775" s="95"/>
      <c r="B775" s="95"/>
    </row>
    <row r="776">
      <c r="A776" s="95"/>
      <c r="B776" s="95"/>
    </row>
    <row r="777">
      <c r="A777" s="95"/>
      <c r="B777" s="95"/>
    </row>
    <row r="778">
      <c r="A778" s="95"/>
      <c r="B778" s="95"/>
    </row>
    <row r="779">
      <c r="A779" s="95"/>
      <c r="B779" s="95"/>
    </row>
    <row r="780">
      <c r="A780" s="95"/>
      <c r="B780" s="95"/>
    </row>
    <row r="781">
      <c r="A781" s="95"/>
      <c r="B781" s="95"/>
    </row>
    <row r="782">
      <c r="A782" s="95"/>
      <c r="B782" s="95"/>
    </row>
    <row r="783">
      <c r="A783" s="95"/>
      <c r="B783" s="95"/>
    </row>
    <row r="784">
      <c r="A784" s="95"/>
      <c r="B784" s="95"/>
    </row>
    <row r="785">
      <c r="A785" s="95"/>
      <c r="B785" s="95"/>
    </row>
    <row r="786">
      <c r="A786" s="95"/>
      <c r="B786" s="95"/>
    </row>
    <row r="787">
      <c r="A787" s="95"/>
      <c r="B787" s="95"/>
    </row>
    <row r="788">
      <c r="A788" s="95"/>
      <c r="B788" s="95"/>
    </row>
    <row r="789">
      <c r="A789" s="95"/>
      <c r="B789" s="95"/>
    </row>
    <row r="790">
      <c r="A790" s="95"/>
      <c r="B790" s="95"/>
    </row>
    <row r="791">
      <c r="A791" s="95"/>
      <c r="B791" s="95"/>
    </row>
    <row r="792">
      <c r="A792" s="95"/>
      <c r="B792" s="95"/>
    </row>
    <row r="793">
      <c r="A793" s="95"/>
      <c r="B793" s="95"/>
    </row>
    <row r="794">
      <c r="A794" s="95"/>
      <c r="B794" s="95"/>
    </row>
    <row r="795">
      <c r="A795" s="95"/>
      <c r="B795" s="95"/>
    </row>
    <row r="796">
      <c r="A796" s="95"/>
      <c r="B796" s="95"/>
    </row>
    <row r="797">
      <c r="A797" s="95"/>
      <c r="B797" s="95"/>
    </row>
    <row r="798">
      <c r="A798" s="95"/>
      <c r="B798" s="95"/>
    </row>
    <row r="799">
      <c r="A799" s="95"/>
      <c r="B799" s="95"/>
    </row>
    <row r="800">
      <c r="A800" s="95"/>
      <c r="B800" s="95"/>
    </row>
    <row r="801">
      <c r="A801" s="95"/>
      <c r="B801" s="95"/>
    </row>
    <row r="802">
      <c r="A802" s="95"/>
      <c r="B802" s="95"/>
    </row>
    <row r="803">
      <c r="A803" s="95"/>
      <c r="B803" s="95"/>
    </row>
    <row r="804">
      <c r="A804" s="95"/>
      <c r="B804" s="95"/>
    </row>
    <row r="805">
      <c r="A805" s="95"/>
      <c r="B805" s="95"/>
    </row>
    <row r="806">
      <c r="A806" s="95"/>
      <c r="B806" s="95"/>
    </row>
    <row r="807">
      <c r="A807" s="95"/>
      <c r="B807" s="95"/>
    </row>
    <row r="808">
      <c r="A808" s="95"/>
      <c r="B808" s="95"/>
    </row>
    <row r="809">
      <c r="A809" s="95"/>
      <c r="B809" s="95"/>
    </row>
    <row r="810">
      <c r="A810" s="95"/>
      <c r="B810" s="95"/>
    </row>
    <row r="811">
      <c r="A811" s="95"/>
      <c r="B811" s="95"/>
    </row>
    <row r="812">
      <c r="A812" s="95"/>
      <c r="B812" s="95"/>
    </row>
    <row r="813">
      <c r="A813" s="95"/>
      <c r="B813" s="95"/>
    </row>
    <row r="814">
      <c r="A814" s="95"/>
      <c r="B814" s="95"/>
    </row>
    <row r="815">
      <c r="A815" s="95"/>
      <c r="B815" s="95"/>
    </row>
    <row r="816">
      <c r="A816" s="95"/>
      <c r="B816" s="95"/>
    </row>
    <row r="817">
      <c r="A817" s="95"/>
      <c r="B817" s="95"/>
    </row>
    <row r="818">
      <c r="A818" s="95"/>
      <c r="B818" s="95"/>
    </row>
    <row r="819">
      <c r="A819" s="95"/>
      <c r="B819" s="95"/>
    </row>
    <row r="820">
      <c r="A820" s="95"/>
      <c r="B820" s="95"/>
    </row>
    <row r="821">
      <c r="A821" s="95"/>
      <c r="B821" s="95"/>
    </row>
    <row r="822">
      <c r="A822" s="95"/>
      <c r="B822" s="95"/>
    </row>
    <row r="823">
      <c r="A823" s="95"/>
      <c r="B823" s="95"/>
    </row>
    <row r="824">
      <c r="A824" s="95"/>
      <c r="B824" s="95"/>
    </row>
    <row r="825">
      <c r="A825" s="95"/>
      <c r="B825" s="95"/>
    </row>
    <row r="826">
      <c r="A826" s="95"/>
      <c r="B826" s="95"/>
    </row>
    <row r="827">
      <c r="A827" s="95"/>
      <c r="B827" s="95"/>
    </row>
    <row r="828">
      <c r="A828" s="95"/>
      <c r="B828" s="95"/>
    </row>
    <row r="829">
      <c r="A829" s="95"/>
      <c r="B829" s="95"/>
    </row>
    <row r="830">
      <c r="A830" s="95"/>
      <c r="B830" s="95"/>
    </row>
    <row r="831">
      <c r="A831" s="95"/>
      <c r="B831" s="95"/>
    </row>
    <row r="832">
      <c r="A832" s="95"/>
      <c r="B832" s="95"/>
    </row>
    <row r="833">
      <c r="A833" s="95"/>
      <c r="B833" s="95"/>
    </row>
    <row r="834">
      <c r="A834" s="95"/>
      <c r="B834" s="95"/>
    </row>
    <row r="835">
      <c r="A835" s="95"/>
      <c r="B835" s="95"/>
    </row>
    <row r="836">
      <c r="A836" s="95"/>
      <c r="B836" s="95"/>
    </row>
    <row r="837">
      <c r="A837" s="95"/>
      <c r="B837" s="95"/>
    </row>
    <row r="838">
      <c r="A838" s="95"/>
      <c r="B838" s="95"/>
    </row>
    <row r="839">
      <c r="A839" s="95"/>
      <c r="B839" s="95"/>
    </row>
    <row r="840">
      <c r="A840" s="95"/>
      <c r="B840" s="95"/>
    </row>
    <row r="841">
      <c r="A841" s="95"/>
      <c r="B841" s="95"/>
    </row>
    <row r="842">
      <c r="A842" s="95"/>
      <c r="B842" s="95"/>
    </row>
    <row r="843">
      <c r="A843" s="95"/>
      <c r="B843" s="95"/>
    </row>
    <row r="844">
      <c r="A844" s="95"/>
      <c r="B844" s="95"/>
    </row>
    <row r="845">
      <c r="A845" s="95"/>
      <c r="B845" s="95"/>
    </row>
    <row r="846">
      <c r="A846" s="95"/>
      <c r="B846" s="95"/>
    </row>
    <row r="847">
      <c r="A847" s="95"/>
      <c r="B847" s="95"/>
    </row>
    <row r="848">
      <c r="A848" s="95"/>
      <c r="B848" s="95"/>
    </row>
    <row r="849">
      <c r="A849" s="95"/>
      <c r="B849" s="95"/>
    </row>
    <row r="850">
      <c r="A850" s="95"/>
      <c r="B850" s="95"/>
    </row>
    <row r="851">
      <c r="A851" s="95"/>
      <c r="B851" s="95"/>
    </row>
    <row r="852">
      <c r="A852" s="95"/>
      <c r="B852" s="95"/>
    </row>
    <row r="853">
      <c r="A853" s="95"/>
      <c r="B853" s="95"/>
    </row>
    <row r="854">
      <c r="A854" s="95"/>
      <c r="B854" s="95"/>
    </row>
    <row r="855">
      <c r="A855" s="95"/>
      <c r="B855" s="95"/>
    </row>
    <row r="856">
      <c r="A856" s="95"/>
      <c r="B856" s="95"/>
    </row>
    <row r="857">
      <c r="A857" s="95"/>
      <c r="B857" s="95"/>
    </row>
    <row r="858">
      <c r="A858" s="95"/>
      <c r="B858" s="95"/>
    </row>
    <row r="859">
      <c r="A859" s="95"/>
      <c r="B859" s="95"/>
    </row>
    <row r="860">
      <c r="A860" s="95"/>
      <c r="B860" s="95"/>
    </row>
    <row r="861">
      <c r="A861" s="95"/>
      <c r="B861" s="95"/>
    </row>
    <row r="862">
      <c r="A862" s="95"/>
      <c r="B862" s="95"/>
    </row>
    <row r="863">
      <c r="A863" s="95"/>
      <c r="B863" s="95"/>
    </row>
    <row r="864">
      <c r="A864" s="95"/>
      <c r="B864" s="95"/>
    </row>
    <row r="865">
      <c r="A865" s="95"/>
      <c r="B865" s="95"/>
    </row>
    <row r="866">
      <c r="A866" s="95"/>
      <c r="B866" s="95"/>
    </row>
    <row r="867">
      <c r="A867" s="95"/>
      <c r="B867" s="95"/>
    </row>
    <row r="868">
      <c r="A868" s="95"/>
      <c r="B868" s="95"/>
    </row>
    <row r="869">
      <c r="A869" s="95"/>
      <c r="B869" s="95"/>
    </row>
    <row r="870">
      <c r="A870" s="95"/>
      <c r="B870" s="95"/>
    </row>
    <row r="871">
      <c r="A871" s="95"/>
      <c r="B871" s="95"/>
    </row>
    <row r="872">
      <c r="A872" s="95"/>
      <c r="B872" s="95"/>
    </row>
    <row r="873">
      <c r="A873" s="95"/>
      <c r="B873" s="95"/>
    </row>
    <row r="874">
      <c r="A874" s="95"/>
      <c r="B874" s="95"/>
    </row>
    <row r="875">
      <c r="A875" s="95"/>
      <c r="B875" s="95"/>
    </row>
    <row r="876">
      <c r="A876" s="95"/>
      <c r="B876" s="95"/>
    </row>
    <row r="877">
      <c r="A877" s="95"/>
      <c r="B877" s="95"/>
    </row>
    <row r="878">
      <c r="A878" s="95"/>
      <c r="B878" s="95"/>
    </row>
    <row r="879">
      <c r="A879" s="95"/>
      <c r="B879" s="95"/>
    </row>
    <row r="880">
      <c r="A880" s="95"/>
      <c r="B880" s="95"/>
    </row>
    <row r="881">
      <c r="A881" s="95"/>
      <c r="B881" s="95"/>
    </row>
    <row r="882">
      <c r="A882" s="95"/>
      <c r="B882" s="95"/>
    </row>
    <row r="883">
      <c r="A883" s="95"/>
      <c r="B883" s="95"/>
    </row>
    <row r="884">
      <c r="A884" s="95"/>
      <c r="B884" s="95"/>
    </row>
    <row r="885">
      <c r="A885" s="95"/>
      <c r="B885" s="95"/>
    </row>
    <row r="886">
      <c r="A886" s="95"/>
      <c r="B886" s="95"/>
    </row>
    <row r="887">
      <c r="A887" s="95"/>
      <c r="B887" s="95"/>
    </row>
    <row r="888">
      <c r="A888" s="95"/>
      <c r="B888" s="95"/>
    </row>
    <row r="889">
      <c r="A889" s="95"/>
      <c r="B889" s="95"/>
    </row>
    <row r="890">
      <c r="A890" s="95"/>
      <c r="B890" s="95"/>
    </row>
    <row r="891">
      <c r="A891" s="95"/>
      <c r="B891" s="95"/>
    </row>
    <row r="892">
      <c r="A892" s="95"/>
      <c r="B892" s="95"/>
    </row>
    <row r="893">
      <c r="A893" s="95"/>
      <c r="B893" s="95"/>
    </row>
    <row r="894">
      <c r="A894" s="95"/>
      <c r="B894" s="95"/>
    </row>
    <row r="895">
      <c r="A895" s="95"/>
      <c r="B895" s="95"/>
    </row>
    <row r="896">
      <c r="A896" s="95"/>
      <c r="B896" s="95"/>
    </row>
    <row r="897">
      <c r="A897" s="95"/>
      <c r="B897" s="95"/>
    </row>
    <row r="898">
      <c r="A898" s="95"/>
      <c r="B898" s="95"/>
    </row>
    <row r="899">
      <c r="A899" s="95"/>
      <c r="B899" s="95"/>
    </row>
    <row r="900">
      <c r="A900" s="95"/>
      <c r="B900" s="95"/>
    </row>
    <row r="901">
      <c r="A901" s="95"/>
      <c r="B901" s="95"/>
    </row>
    <row r="902">
      <c r="A902" s="95"/>
      <c r="B902" s="95"/>
    </row>
    <row r="903">
      <c r="A903" s="95"/>
      <c r="B903" s="95"/>
    </row>
    <row r="904">
      <c r="A904" s="95"/>
      <c r="B904" s="95"/>
    </row>
    <row r="905">
      <c r="A905" s="95"/>
      <c r="B905" s="95"/>
    </row>
    <row r="906">
      <c r="A906" s="95"/>
      <c r="B906" s="95"/>
    </row>
    <row r="907">
      <c r="A907" s="95"/>
      <c r="B907" s="95"/>
    </row>
    <row r="908">
      <c r="A908" s="95"/>
      <c r="B908" s="95"/>
    </row>
    <row r="909">
      <c r="A909" s="95"/>
      <c r="B909" s="95"/>
    </row>
    <row r="910">
      <c r="A910" s="95"/>
      <c r="B910" s="95"/>
    </row>
    <row r="911">
      <c r="A911" s="95"/>
      <c r="B911" s="95"/>
    </row>
    <row r="912">
      <c r="A912" s="95"/>
      <c r="B912" s="95"/>
    </row>
    <row r="913">
      <c r="A913" s="95"/>
      <c r="B913" s="95"/>
    </row>
    <row r="914">
      <c r="A914" s="95"/>
      <c r="B914" s="95"/>
    </row>
    <row r="915">
      <c r="A915" s="95"/>
      <c r="B915" s="95"/>
    </row>
    <row r="916">
      <c r="A916" s="95"/>
      <c r="B916" s="95"/>
    </row>
    <row r="917">
      <c r="A917" s="95"/>
      <c r="B917" s="95"/>
    </row>
    <row r="918">
      <c r="A918" s="95"/>
      <c r="B918" s="95"/>
    </row>
    <row r="919">
      <c r="A919" s="95"/>
      <c r="B919" s="95"/>
    </row>
    <row r="920">
      <c r="A920" s="95"/>
      <c r="B920" s="95"/>
    </row>
    <row r="921">
      <c r="A921" s="95"/>
      <c r="B921" s="95"/>
    </row>
    <row r="922">
      <c r="A922" s="95"/>
      <c r="B922" s="95"/>
    </row>
    <row r="923">
      <c r="A923" s="95"/>
      <c r="B923" s="95"/>
    </row>
    <row r="924">
      <c r="A924" s="95"/>
      <c r="B924" s="95"/>
    </row>
    <row r="925">
      <c r="A925" s="95"/>
      <c r="B925" s="95"/>
    </row>
    <row r="926">
      <c r="A926" s="95"/>
      <c r="B926" s="95"/>
    </row>
    <row r="927">
      <c r="A927" s="95"/>
      <c r="B927" s="95"/>
    </row>
    <row r="928">
      <c r="A928" s="95"/>
      <c r="B928" s="95"/>
    </row>
    <row r="929">
      <c r="A929" s="95"/>
      <c r="B929" s="95"/>
    </row>
    <row r="930">
      <c r="A930" s="95"/>
      <c r="B930" s="95"/>
    </row>
    <row r="931">
      <c r="A931" s="95"/>
      <c r="B931" s="95"/>
    </row>
    <row r="932">
      <c r="A932" s="95"/>
      <c r="B932" s="95"/>
    </row>
    <row r="933">
      <c r="A933" s="95"/>
      <c r="B933" s="95"/>
    </row>
    <row r="934">
      <c r="A934" s="95"/>
      <c r="B934" s="95"/>
    </row>
    <row r="935">
      <c r="A935" s="95"/>
      <c r="B935" s="95"/>
    </row>
    <row r="936">
      <c r="A936" s="95"/>
      <c r="B936" s="95"/>
    </row>
    <row r="937">
      <c r="A937" s="95"/>
      <c r="B937" s="95"/>
    </row>
    <row r="938">
      <c r="A938" s="95"/>
      <c r="B938" s="95"/>
    </row>
    <row r="939">
      <c r="A939" s="95"/>
      <c r="B939" s="95"/>
    </row>
    <row r="940">
      <c r="A940" s="95"/>
      <c r="B940" s="95"/>
    </row>
    <row r="941">
      <c r="A941" s="95"/>
      <c r="B941" s="95"/>
    </row>
    <row r="942">
      <c r="A942" s="95"/>
      <c r="B942" s="95"/>
    </row>
    <row r="943">
      <c r="A943" s="95"/>
      <c r="B943" s="95"/>
    </row>
    <row r="944">
      <c r="A944" s="95"/>
      <c r="B944" s="95"/>
    </row>
    <row r="945">
      <c r="A945" s="95"/>
      <c r="B945" s="95"/>
    </row>
    <row r="946">
      <c r="A946" s="95"/>
      <c r="B946" s="95"/>
    </row>
    <row r="947">
      <c r="A947" s="95"/>
      <c r="B947" s="95"/>
    </row>
    <row r="948">
      <c r="A948" s="95"/>
      <c r="B948" s="95"/>
    </row>
    <row r="949">
      <c r="A949" s="95"/>
      <c r="B949" s="95"/>
    </row>
    <row r="950">
      <c r="A950" s="95"/>
      <c r="B950" s="95"/>
    </row>
    <row r="951">
      <c r="A951" s="95"/>
      <c r="B951" s="95"/>
    </row>
    <row r="952">
      <c r="A952" s="95"/>
      <c r="B952" s="95"/>
    </row>
    <row r="953">
      <c r="A953" s="95"/>
      <c r="B953" s="95"/>
    </row>
    <row r="954">
      <c r="A954" s="95"/>
      <c r="B954" s="95"/>
    </row>
    <row r="955">
      <c r="A955" s="95"/>
      <c r="B955" s="95"/>
    </row>
    <row r="956">
      <c r="A956" s="95"/>
      <c r="B956" s="95"/>
    </row>
    <row r="957">
      <c r="A957" s="95"/>
      <c r="B957" s="95"/>
    </row>
    <row r="958">
      <c r="A958" s="95"/>
      <c r="B958" s="95"/>
    </row>
    <row r="959">
      <c r="A959" s="95"/>
      <c r="B959" s="95"/>
    </row>
    <row r="960">
      <c r="A960" s="95"/>
      <c r="B960" s="95"/>
    </row>
    <row r="961">
      <c r="A961" s="95"/>
      <c r="B961" s="95"/>
    </row>
    <row r="962">
      <c r="A962" s="95"/>
      <c r="B962" s="95"/>
    </row>
    <row r="963">
      <c r="A963" s="95"/>
      <c r="B963" s="95"/>
    </row>
    <row r="964">
      <c r="A964" s="95"/>
      <c r="B964" s="95"/>
    </row>
    <row r="965">
      <c r="A965" s="95"/>
      <c r="B965" s="95"/>
    </row>
    <row r="966">
      <c r="A966" s="95"/>
      <c r="B966" s="95"/>
    </row>
    <row r="967">
      <c r="A967" s="95"/>
      <c r="B967" s="95"/>
    </row>
    <row r="968">
      <c r="A968" s="95"/>
      <c r="B968" s="95"/>
    </row>
    <row r="969">
      <c r="A969" s="95"/>
      <c r="B969" s="95"/>
    </row>
    <row r="970">
      <c r="A970" s="95"/>
      <c r="B970" s="95"/>
    </row>
    <row r="971">
      <c r="A971" s="95"/>
      <c r="B971" s="95"/>
    </row>
    <row r="972">
      <c r="A972" s="95"/>
      <c r="B972" s="95"/>
    </row>
    <row r="973">
      <c r="A973" s="95"/>
      <c r="B973" s="95"/>
    </row>
    <row r="974">
      <c r="A974" s="95"/>
      <c r="B974" s="95"/>
    </row>
    <row r="975">
      <c r="A975" s="95"/>
      <c r="B975" s="95"/>
    </row>
    <row r="976">
      <c r="A976" s="95"/>
      <c r="B976" s="95"/>
    </row>
    <row r="977">
      <c r="A977" s="95"/>
      <c r="B977" s="95"/>
    </row>
    <row r="978">
      <c r="A978" s="95"/>
      <c r="B978" s="95"/>
    </row>
    <row r="979">
      <c r="A979" s="95"/>
      <c r="B979" s="95"/>
    </row>
    <row r="980">
      <c r="A980" s="95"/>
      <c r="B980" s="95"/>
    </row>
    <row r="981">
      <c r="A981" s="95"/>
      <c r="B981" s="95"/>
    </row>
    <row r="982">
      <c r="A982" s="95"/>
      <c r="B982" s="95"/>
    </row>
    <row r="983">
      <c r="A983" s="95"/>
      <c r="B983" s="95"/>
    </row>
    <row r="984">
      <c r="A984" s="95"/>
      <c r="B984" s="95"/>
    </row>
    <row r="985">
      <c r="A985" s="95"/>
      <c r="B985" s="95"/>
    </row>
    <row r="986">
      <c r="A986" s="95"/>
      <c r="B986" s="95"/>
    </row>
    <row r="987">
      <c r="A987" s="95"/>
      <c r="B987" s="95"/>
    </row>
    <row r="988">
      <c r="A988" s="95"/>
      <c r="B988" s="95"/>
    </row>
    <row r="989">
      <c r="A989" s="95"/>
      <c r="B989" s="95"/>
    </row>
    <row r="990">
      <c r="A990" s="95"/>
      <c r="B990" s="95"/>
    </row>
    <row r="991">
      <c r="A991" s="95"/>
      <c r="B991" s="95"/>
    </row>
    <row r="992">
      <c r="A992" s="95"/>
      <c r="B992" s="95"/>
    </row>
    <row r="993">
      <c r="A993" s="95"/>
      <c r="B993" s="95"/>
    </row>
    <row r="994">
      <c r="A994" s="95"/>
      <c r="B994" s="95"/>
    </row>
    <row r="995">
      <c r="A995" s="95"/>
      <c r="B995" s="95"/>
    </row>
    <row r="996">
      <c r="A996" s="95"/>
      <c r="B996" s="95"/>
    </row>
    <row r="997">
      <c r="A997" s="95"/>
      <c r="B997" s="95"/>
    </row>
    <row r="998">
      <c r="A998" s="95"/>
      <c r="B998" s="95"/>
    </row>
    <row r="999">
      <c r="A999" s="95"/>
      <c r="B999" s="95"/>
    </row>
    <row r="1000">
      <c r="A1000" s="95"/>
      <c r="B1000" s="95"/>
    </row>
    <row r="1001">
      <c r="A1001" s="95"/>
      <c r="B1001" s="95"/>
    </row>
    <row r="1002">
      <c r="A1002" s="95"/>
      <c r="B1002" s="95"/>
    </row>
    <row r="1003">
      <c r="A1003" s="95"/>
      <c r="B1003" s="95"/>
    </row>
    <row r="1004">
      <c r="A1004" s="95"/>
      <c r="B1004" s="95"/>
    </row>
    <row r="1005">
      <c r="A1005" s="95"/>
      <c r="B1005" s="95"/>
    </row>
    <row r="1006">
      <c r="A1006" s="95"/>
      <c r="B1006" s="95"/>
    </row>
    <row r="1007">
      <c r="A1007" s="95"/>
      <c r="B1007" s="95"/>
    </row>
    <row r="1008">
      <c r="A1008" s="95"/>
      <c r="B1008" s="95"/>
    </row>
    <row r="1009">
      <c r="A1009" s="95"/>
      <c r="B1009" s="95"/>
    </row>
    <row r="1010">
      <c r="A1010" s="95"/>
      <c r="B1010" s="95"/>
    </row>
    <row r="1011">
      <c r="A1011" s="95"/>
      <c r="B1011" s="95"/>
    </row>
    <row r="1012">
      <c r="A1012" s="95"/>
      <c r="B1012" s="95"/>
    </row>
    <row r="1013">
      <c r="A1013" s="95"/>
      <c r="B1013" s="95"/>
    </row>
    <row r="1014">
      <c r="A1014" s="95"/>
      <c r="B1014" s="95"/>
    </row>
    <row r="1015">
      <c r="A1015" s="95"/>
      <c r="B1015" s="95"/>
    </row>
    <row r="1016">
      <c r="A1016" s="95"/>
      <c r="B1016" s="95"/>
    </row>
    <row r="1017">
      <c r="A1017" s="95"/>
      <c r="B1017" s="95"/>
    </row>
    <row r="1018">
      <c r="A1018" s="95"/>
      <c r="B1018" s="95"/>
    </row>
    <row r="1019">
      <c r="A1019" s="95"/>
      <c r="B1019" s="95"/>
    </row>
    <row r="1020">
      <c r="A1020" s="95"/>
      <c r="B1020" s="95"/>
    </row>
    <row r="1021">
      <c r="A1021" s="95"/>
      <c r="B1021" s="95"/>
    </row>
    <row r="1022">
      <c r="A1022" s="95"/>
      <c r="B1022" s="95"/>
    </row>
    <row r="1023">
      <c r="A1023" s="95"/>
      <c r="B1023" s="95"/>
    </row>
    <row r="1024">
      <c r="A1024" s="95"/>
      <c r="B1024" s="95"/>
    </row>
    <row r="1025">
      <c r="A1025" s="95"/>
      <c r="B1025" s="95"/>
    </row>
    <row r="1026">
      <c r="A1026" s="95"/>
      <c r="B1026" s="95"/>
    </row>
    <row r="1027">
      <c r="A1027" s="95"/>
      <c r="B1027" s="95"/>
    </row>
    <row r="1028">
      <c r="A1028" s="95"/>
      <c r="B1028" s="95"/>
    </row>
    <row r="1029">
      <c r="A1029" s="95"/>
      <c r="B1029" s="95"/>
    </row>
    <row r="1030">
      <c r="A1030" s="95"/>
      <c r="B1030" s="95"/>
    </row>
    <row r="1031">
      <c r="A1031" s="95"/>
      <c r="B1031" s="95"/>
    </row>
    <row r="1032">
      <c r="A1032" s="95"/>
      <c r="B1032" s="95"/>
    </row>
    <row r="1033">
      <c r="A1033" s="95"/>
      <c r="B1033" s="95"/>
    </row>
    <row r="1034">
      <c r="A1034" s="95"/>
      <c r="B1034" s="95"/>
    </row>
    <row r="1035">
      <c r="A1035" s="95"/>
      <c r="B1035" s="95"/>
    </row>
    <row r="1036">
      <c r="A1036" s="95"/>
      <c r="B1036" s="95"/>
    </row>
    <row r="1037">
      <c r="A1037" s="95"/>
      <c r="B1037" s="95"/>
    </row>
    <row r="1038">
      <c r="A1038" s="95"/>
      <c r="B1038" s="95"/>
    </row>
    <row r="1039">
      <c r="A1039" s="95"/>
      <c r="B1039" s="95"/>
    </row>
    <row r="1040">
      <c r="A1040" s="95"/>
      <c r="B1040" s="95"/>
    </row>
    <row r="1041">
      <c r="A1041" s="95"/>
      <c r="B1041" s="95"/>
    </row>
    <row r="1042">
      <c r="A1042" s="95"/>
      <c r="B1042" s="95"/>
    </row>
    <row r="1043">
      <c r="A1043" s="95"/>
      <c r="B1043" s="95"/>
    </row>
    <row r="1044">
      <c r="A1044" s="95"/>
      <c r="B1044" s="95"/>
    </row>
    <row r="1045">
      <c r="A1045" s="95"/>
      <c r="B1045" s="95"/>
    </row>
    <row r="1046">
      <c r="A1046" s="95"/>
      <c r="B1046" s="95"/>
    </row>
    <row r="1047">
      <c r="A1047" s="95"/>
      <c r="B1047" s="95"/>
    </row>
    <row r="1048">
      <c r="A1048" s="95"/>
      <c r="B1048" s="95"/>
    </row>
    <row r="1049">
      <c r="A1049" s="95"/>
      <c r="B1049" s="95"/>
    </row>
    <row r="1050">
      <c r="A1050" s="95"/>
      <c r="B1050" s="95"/>
    </row>
    <row r="1051">
      <c r="A1051" s="95"/>
      <c r="B1051" s="95"/>
    </row>
    <row r="1052">
      <c r="A1052" s="95"/>
      <c r="B1052" s="95"/>
    </row>
    <row r="1053">
      <c r="A1053" s="95"/>
      <c r="B1053" s="95"/>
    </row>
    <row r="1054">
      <c r="A1054" s="95"/>
      <c r="B1054" s="95"/>
    </row>
    <row r="1055">
      <c r="A1055" s="95"/>
      <c r="B1055" s="95"/>
    </row>
    <row r="1056">
      <c r="A1056" s="95"/>
      <c r="B1056" s="95"/>
    </row>
    <row r="1057">
      <c r="A1057" s="95"/>
      <c r="B1057" s="95"/>
    </row>
    <row r="1058">
      <c r="A1058" s="95"/>
      <c r="B1058" s="95"/>
    </row>
    <row r="1059">
      <c r="A1059" s="95"/>
      <c r="B1059" s="95"/>
    </row>
    <row r="1060">
      <c r="A1060" s="95"/>
      <c r="B1060" s="95"/>
    </row>
    <row r="1061">
      <c r="A1061" s="95"/>
      <c r="B1061" s="95"/>
    </row>
    <row r="1062">
      <c r="A1062" s="95"/>
      <c r="B1062" s="95"/>
    </row>
    <row r="1063">
      <c r="A1063" s="95"/>
      <c r="B1063" s="95"/>
    </row>
    <row r="1064">
      <c r="A1064" s="95"/>
      <c r="B1064" s="95"/>
    </row>
    <row r="1065">
      <c r="A1065" s="95"/>
      <c r="B1065" s="95"/>
    </row>
    <row r="1066">
      <c r="A1066" s="95"/>
      <c r="B1066" s="95"/>
    </row>
    <row r="1067">
      <c r="A1067" s="95"/>
      <c r="B1067" s="95"/>
    </row>
    <row r="1068">
      <c r="A1068" s="95"/>
      <c r="B1068" s="95"/>
    </row>
    <row r="1069">
      <c r="A1069" s="95"/>
      <c r="B1069" s="95"/>
    </row>
    <row r="1070">
      <c r="A1070" s="95"/>
      <c r="B1070" s="95"/>
    </row>
    <row r="1071">
      <c r="A1071" s="95"/>
      <c r="B1071" s="95"/>
    </row>
    <row r="1072">
      <c r="A1072" s="95"/>
      <c r="B1072" s="95"/>
    </row>
    <row r="1073">
      <c r="A1073" s="95"/>
      <c r="B1073" s="95"/>
    </row>
    <row r="1074">
      <c r="A1074" s="95"/>
      <c r="B1074" s="95"/>
    </row>
    <row r="1075">
      <c r="A1075" s="95"/>
      <c r="B1075" s="95"/>
    </row>
    <row r="1076">
      <c r="A1076" s="95"/>
      <c r="B1076" s="95"/>
    </row>
    <row r="1077">
      <c r="A1077" s="95"/>
      <c r="B1077" s="95"/>
    </row>
    <row r="1078">
      <c r="A1078" s="95"/>
      <c r="B1078" s="95"/>
    </row>
    <row r="1079">
      <c r="A1079" s="95"/>
      <c r="B1079" s="95"/>
    </row>
    <row r="1080">
      <c r="A1080" s="95"/>
      <c r="B1080" s="95"/>
    </row>
    <row r="1081">
      <c r="A1081" s="95"/>
      <c r="B1081" s="95"/>
    </row>
    <row r="1082">
      <c r="A1082" s="95"/>
      <c r="B1082" s="95"/>
    </row>
    <row r="1083">
      <c r="A1083" s="95"/>
      <c r="B1083" s="95"/>
    </row>
    <row r="1084">
      <c r="A1084" s="95"/>
      <c r="B1084" s="95"/>
    </row>
    <row r="1085">
      <c r="A1085" s="95"/>
      <c r="B1085" s="95"/>
    </row>
    <row r="1086">
      <c r="A1086" s="95"/>
      <c r="B1086" s="95"/>
    </row>
    <row r="1087">
      <c r="A1087" s="95"/>
      <c r="B1087" s="95"/>
    </row>
    <row r="1088">
      <c r="A1088" s="95"/>
      <c r="B1088" s="95"/>
    </row>
    <row r="1089">
      <c r="A1089" s="95"/>
      <c r="B1089" s="95"/>
    </row>
    <row r="1090">
      <c r="A1090" s="95"/>
      <c r="B1090" s="95"/>
    </row>
    <row r="1091">
      <c r="A1091" s="95"/>
      <c r="B1091" s="95"/>
    </row>
    <row r="1092">
      <c r="A1092" s="95"/>
      <c r="B1092" s="95"/>
    </row>
    <row r="1093">
      <c r="A1093" s="95"/>
      <c r="B1093" s="95"/>
    </row>
    <row r="1094">
      <c r="A1094" s="95"/>
      <c r="B1094" s="95"/>
    </row>
    <row r="1095">
      <c r="A1095" s="95"/>
      <c r="B1095" s="95"/>
    </row>
    <row r="1096">
      <c r="A1096" s="95"/>
      <c r="B1096" s="95"/>
    </row>
    <row r="1097">
      <c r="A1097" s="95"/>
      <c r="B1097" s="95"/>
    </row>
    <row r="1098">
      <c r="A1098" s="95"/>
      <c r="B1098" s="95"/>
    </row>
    <row r="1099">
      <c r="A1099" s="95"/>
      <c r="B1099" s="95"/>
    </row>
    <row r="1100">
      <c r="A1100" s="95"/>
      <c r="B1100" s="95"/>
    </row>
    <row r="1101">
      <c r="A1101" s="95"/>
      <c r="B1101" s="95"/>
    </row>
    <row r="1102">
      <c r="A1102" s="95"/>
      <c r="B1102" s="95"/>
    </row>
    <row r="1103">
      <c r="A1103" s="95"/>
      <c r="B1103" s="95"/>
    </row>
    <row r="1104">
      <c r="A1104" s="95"/>
      <c r="B1104" s="95"/>
    </row>
    <row r="1105">
      <c r="A1105" s="95"/>
      <c r="B1105" s="95"/>
    </row>
    <row r="1106">
      <c r="A1106" s="95"/>
      <c r="B1106" s="95"/>
    </row>
    <row r="1107">
      <c r="A1107" s="95"/>
      <c r="B1107" s="95"/>
    </row>
    <row r="1108">
      <c r="A1108" s="95"/>
      <c r="B1108" s="95"/>
    </row>
    <row r="1109">
      <c r="A1109" s="95"/>
      <c r="B1109" s="95"/>
    </row>
    <row r="1110">
      <c r="A1110" s="95"/>
      <c r="B1110" s="95"/>
    </row>
    <row r="1111">
      <c r="A1111" s="95"/>
      <c r="B1111" s="95"/>
    </row>
    <row r="1112">
      <c r="A1112" s="95"/>
      <c r="B1112" s="95"/>
    </row>
    <row r="1113">
      <c r="A1113" s="95"/>
      <c r="B1113" s="95"/>
    </row>
    <row r="1114">
      <c r="A1114" s="95"/>
      <c r="B1114" s="95"/>
    </row>
    <row r="1115">
      <c r="A1115" s="95"/>
      <c r="B1115" s="95"/>
    </row>
    <row r="1116">
      <c r="A1116" s="95"/>
      <c r="B1116" s="95"/>
    </row>
    <row r="1117">
      <c r="A1117" s="95"/>
      <c r="B1117" s="95"/>
    </row>
    <row r="1118">
      <c r="A1118" s="95"/>
      <c r="B1118" s="95"/>
    </row>
    <row r="1119">
      <c r="A1119" s="95"/>
      <c r="B1119" s="95"/>
    </row>
    <row r="1120">
      <c r="A1120" s="95"/>
      <c r="B1120" s="95"/>
    </row>
    <row r="1121">
      <c r="A1121" s="95"/>
      <c r="B1121" s="95"/>
    </row>
    <row r="1122">
      <c r="A1122" s="95"/>
      <c r="B1122" s="95"/>
    </row>
    <row r="1123">
      <c r="A1123" s="95"/>
      <c r="B1123" s="95"/>
    </row>
    <row r="1124">
      <c r="A1124" s="95"/>
      <c r="B1124" s="95"/>
    </row>
    <row r="1125">
      <c r="A1125" s="95"/>
      <c r="B1125" s="95"/>
    </row>
    <row r="1126">
      <c r="A1126" s="95"/>
      <c r="B1126" s="95"/>
    </row>
    <row r="1127">
      <c r="A1127" s="95"/>
      <c r="B1127" s="95"/>
    </row>
    <row r="1128">
      <c r="A1128" s="95"/>
      <c r="B1128" s="95"/>
    </row>
    <row r="1129">
      <c r="A1129" s="95"/>
      <c r="B1129" s="95"/>
    </row>
    <row r="1130">
      <c r="A1130" s="95"/>
      <c r="B1130" s="95"/>
    </row>
    <row r="1131">
      <c r="A1131" s="95"/>
      <c r="B1131" s="95"/>
    </row>
    <row r="1132">
      <c r="A1132" s="95"/>
      <c r="B1132" s="95"/>
    </row>
    <row r="1133">
      <c r="A1133" s="95"/>
      <c r="B1133" s="95"/>
    </row>
    <row r="1134">
      <c r="A1134" s="95"/>
      <c r="B1134" s="95"/>
    </row>
    <row r="1135">
      <c r="A1135" s="95"/>
      <c r="B1135" s="95"/>
    </row>
    <row r="1136">
      <c r="A1136" s="95"/>
      <c r="B1136" s="95"/>
    </row>
    <row r="1137">
      <c r="A1137" s="95"/>
      <c r="B1137" s="95"/>
    </row>
    <row r="1138">
      <c r="A1138" s="95"/>
      <c r="B1138" s="95"/>
    </row>
    <row r="1139">
      <c r="A1139" s="95"/>
      <c r="B1139" s="95"/>
    </row>
    <row r="1140">
      <c r="A1140" s="95"/>
      <c r="B1140" s="95"/>
    </row>
    <row r="1141">
      <c r="A1141" s="95"/>
      <c r="B1141" s="95"/>
    </row>
    <row r="1142">
      <c r="A1142" s="95"/>
      <c r="B1142" s="95"/>
    </row>
    <row r="1143">
      <c r="A1143" s="95"/>
      <c r="B1143" s="95"/>
    </row>
    <row r="1144">
      <c r="A1144" s="95"/>
      <c r="B1144" s="95"/>
    </row>
    <row r="1145">
      <c r="A1145" s="95"/>
      <c r="B1145" s="95"/>
    </row>
    <row r="1146">
      <c r="A1146" s="95"/>
      <c r="B1146" s="95"/>
    </row>
    <row r="1147">
      <c r="A1147" s="95"/>
      <c r="B1147" s="95"/>
    </row>
    <row r="1148">
      <c r="A1148" s="95"/>
      <c r="B1148" s="95"/>
    </row>
    <row r="1149">
      <c r="A1149" s="95"/>
      <c r="B1149" s="95"/>
    </row>
    <row r="1150">
      <c r="A1150" s="95"/>
      <c r="B1150" s="95"/>
    </row>
    <row r="1151">
      <c r="A1151" s="95"/>
      <c r="B1151" s="95"/>
    </row>
    <row r="1152">
      <c r="A1152" s="95"/>
      <c r="B1152" s="95"/>
    </row>
    <row r="1153">
      <c r="A1153" s="95"/>
      <c r="B1153" s="95"/>
    </row>
    <row r="1154">
      <c r="A1154" s="95"/>
      <c r="B1154" s="95"/>
    </row>
    <row r="1155">
      <c r="A1155" s="95"/>
      <c r="B1155" s="95"/>
    </row>
    <row r="1156">
      <c r="A1156" s="95"/>
      <c r="B1156" s="95"/>
    </row>
    <row r="1157">
      <c r="A1157" s="95"/>
      <c r="B1157" s="95"/>
    </row>
    <row r="1158">
      <c r="A1158" s="95"/>
      <c r="B1158" s="95"/>
    </row>
    <row r="1159">
      <c r="A1159" s="95"/>
      <c r="B1159" s="95"/>
    </row>
    <row r="1160">
      <c r="A1160" s="95"/>
      <c r="B1160" s="95"/>
    </row>
    <row r="1161">
      <c r="A1161" s="95"/>
      <c r="B1161" s="95"/>
    </row>
    <row r="1162">
      <c r="A1162" s="95"/>
      <c r="B1162" s="95"/>
    </row>
    <row r="1163">
      <c r="A1163" s="95"/>
      <c r="B1163" s="95"/>
    </row>
    <row r="1164">
      <c r="A1164" s="95"/>
      <c r="B1164" s="95"/>
    </row>
    <row r="1165">
      <c r="A1165" s="95"/>
      <c r="B1165" s="95"/>
    </row>
    <row r="1166">
      <c r="A1166" s="95"/>
      <c r="B1166" s="95"/>
    </row>
    <row r="1167">
      <c r="A1167" s="95"/>
      <c r="B1167" s="95"/>
    </row>
    <row r="1168">
      <c r="A1168" s="95"/>
      <c r="B1168" s="95"/>
    </row>
    <row r="1169">
      <c r="A1169" s="95"/>
      <c r="B1169" s="95"/>
    </row>
    <row r="1170">
      <c r="A1170" s="95"/>
      <c r="B1170" s="95"/>
    </row>
    <row r="1171">
      <c r="A1171" s="95"/>
      <c r="B1171" s="95"/>
    </row>
    <row r="1172">
      <c r="A1172" s="95"/>
      <c r="B1172" s="95"/>
    </row>
    <row r="1173">
      <c r="A1173" s="95"/>
      <c r="B1173" s="95"/>
    </row>
    <row r="1174">
      <c r="A1174" s="95"/>
      <c r="B1174" s="95"/>
    </row>
    <row r="1175">
      <c r="A1175" s="95"/>
      <c r="B1175" s="95"/>
    </row>
    <row r="1176">
      <c r="A1176" s="95"/>
      <c r="B1176" s="95"/>
    </row>
  </sheetData>
  <mergeCells count="1">
    <mergeCell ref="A1:B1"/>
  </mergeCells>
  <conditionalFormatting sqref="A692:B697">
    <cfRule type="colorScale" priority="1">
      <colorScale>
        <cfvo type="min"/>
        <cfvo type="max"/>
        <color rgb="FFFFFFFF"/>
        <color rgb="FF57BB8A"/>
      </colorScale>
    </cfRule>
  </conditionalFormatting>
  <conditionalFormatting sqref="B401:B405 B409:B412 B692:B697">
    <cfRule type="cellIs" dxfId="0" priority="2" operator="equal">
      <formula>0</formula>
    </cfRule>
  </conditionalFormatting>
  <conditionalFormatting sqref="B401:B405">
    <cfRule type="cellIs" dxfId="0" priority="3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33"/>
    <col customWidth="1" min="2" max="2" width="17.67"/>
    <col customWidth="1" min="3" max="3" width="10.22"/>
    <col customWidth="1" min="4" max="4" width="14.11"/>
    <col customWidth="1" min="5" max="5" width="15.33"/>
    <col customWidth="1" min="6" max="6" width="21.67"/>
    <col customWidth="1" min="7" max="7" width="13.89"/>
    <col customWidth="1" min="8" max="8" width="19.44"/>
    <col customWidth="1" min="9" max="81" width="52.11"/>
  </cols>
  <sheetData>
    <row r="1" ht="21.0" customHeight="1">
      <c r="A1" s="36"/>
      <c r="B1" s="6"/>
      <c r="C1" s="98"/>
      <c r="D1" s="99"/>
      <c r="E1" s="8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</row>
    <row r="2" ht="21.0" customHeight="1">
      <c r="A2" s="36"/>
      <c r="B2" s="6" t="s">
        <v>1</v>
      </c>
      <c r="C2" s="98"/>
      <c r="D2" s="100" t="s">
        <v>781</v>
      </c>
      <c r="E2" s="8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</row>
    <row r="3" ht="21.0" customHeight="1">
      <c r="A3" s="36"/>
      <c r="B3" s="9"/>
      <c r="C3" s="101" t="s">
        <v>782</v>
      </c>
      <c r="D3" s="102" t="s">
        <v>2</v>
      </c>
      <c r="E3" s="11"/>
      <c r="F3" s="37"/>
      <c r="G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</row>
    <row r="4" ht="21.0" customHeight="1">
      <c r="A4" s="36"/>
      <c r="B4" s="103"/>
      <c r="C4" s="104"/>
      <c r="D4" s="104"/>
      <c r="E4" s="37"/>
      <c r="F4" s="37"/>
      <c r="G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</row>
    <row r="5" ht="56.25" customHeight="1">
      <c r="A5" s="36"/>
      <c r="B5" s="105" t="s">
        <v>783</v>
      </c>
      <c r="C5" s="106" t="s">
        <v>784</v>
      </c>
      <c r="D5" s="107"/>
      <c r="E5" s="37"/>
      <c r="F5" s="37"/>
      <c r="G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</row>
    <row r="6" ht="21.0" customHeight="1">
      <c r="A6" s="36"/>
      <c r="B6" s="103"/>
      <c r="C6" s="108"/>
      <c r="D6" s="104"/>
      <c r="E6" s="37"/>
      <c r="F6" s="37"/>
      <c r="G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</row>
    <row r="7" ht="21.0" customHeight="1">
      <c r="A7" s="36"/>
      <c r="B7" s="109" t="s">
        <v>785</v>
      </c>
      <c r="C7" s="110" t="s">
        <v>4</v>
      </c>
      <c r="D7" s="110" t="s">
        <v>786</v>
      </c>
      <c r="E7" s="37"/>
      <c r="F7" s="37"/>
      <c r="G7" s="37"/>
      <c r="H7" s="37" t="str">
        <f>IFERROR(__xludf.DUMMYFUNCTION("SORT(UNIQUE(FILTER(#REF!, LEN(#REF!))))"),"#REF!")</f>
        <v>#REF!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</row>
    <row r="8" ht="21.0" customHeight="1">
      <c r="A8" s="36"/>
      <c r="B8" s="111" t="str">
        <f>IFERROR(__xludf.DUMMYFUNCTION("IF(
 $C$5="""",
 ""시리즈를 선택하세요"",
 SORT(
   FILTER(
     {'재고 백업'!A2:A620, '재고 백업'!B2:B620, #REF!},
     #REF!=$C$5
   ),
   2,
   FALSE
 )
)"),"#REF!")</f>
        <v>#REF!</v>
      </c>
      <c r="C8" s="112"/>
      <c r="D8" s="112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</row>
    <row r="9" ht="21.0" customHeight="1">
      <c r="A9" s="36"/>
      <c r="B9" s="111"/>
      <c r="C9" s="112"/>
      <c r="D9" s="112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</row>
    <row r="10" ht="21.0" customHeight="1">
      <c r="A10" s="36"/>
      <c r="B10" s="111"/>
      <c r="C10" s="112"/>
      <c r="D10" s="112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</row>
    <row r="11" ht="21.0" customHeight="1">
      <c r="A11" s="36"/>
      <c r="B11" s="111"/>
      <c r="C11" s="112"/>
      <c r="D11" s="112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</row>
    <row r="12" ht="21.0" customHeight="1">
      <c r="A12" s="36"/>
      <c r="B12" s="111"/>
      <c r="C12" s="112"/>
      <c r="D12" s="112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</row>
    <row r="13" ht="21.0" customHeight="1">
      <c r="A13" s="36"/>
      <c r="B13" s="111"/>
      <c r="C13" s="112"/>
      <c r="D13" s="112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</row>
    <row r="14" ht="21.0" customHeight="1">
      <c r="A14" s="36"/>
      <c r="B14" s="111"/>
      <c r="C14" s="112"/>
      <c r="D14" s="112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</row>
    <row r="15" ht="21.0" customHeight="1">
      <c r="A15" s="36"/>
      <c r="B15" s="111"/>
      <c r="C15" s="112"/>
      <c r="D15" s="112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</row>
    <row r="16" ht="21.0" customHeight="1">
      <c r="A16" s="36"/>
      <c r="B16" s="111"/>
      <c r="C16" s="112"/>
      <c r="D16" s="112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</row>
    <row r="17" ht="21.0" customHeight="1">
      <c r="A17" s="36"/>
      <c r="B17" s="111"/>
      <c r="C17" s="112"/>
      <c r="D17" s="112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</row>
    <row r="18" ht="21.0" customHeight="1">
      <c r="A18" s="36"/>
      <c r="B18" s="111"/>
      <c r="C18" s="112"/>
      <c r="D18" s="112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</row>
    <row r="19" ht="21.0" customHeight="1">
      <c r="A19" s="36"/>
      <c r="B19" s="111"/>
      <c r="C19" s="112"/>
      <c r="D19" s="112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</row>
    <row r="20" ht="21.0" customHeight="1">
      <c r="A20" s="36"/>
      <c r="B20" s="111"/>
      <c r="C20" s="112"/>
      <c r="D20" s="112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</row>
    <row r="21" ht="21.0" customHeight="1">
      <c r="A21" s="36"/>
      <c r="B21" s="111"/>
      <c r="C21" s="112"/>
      <c r="D21" s="112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</row>
    <row r="22" ht="21.0" customHeight="1">
      <c r="A22" s="36"/>
      <c r="B22" s="111"/>
      <c r="C22" s="112"/>
      <c r="D22" s="112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</row>
    <row r="23" ht="21.0" customHeight="1">
      <c r="A23" s="36"/>
      <c r="B23" s="111"/>
      <c r="C23" s="112"/>
      <c r="D23" s="112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</row>
    <row r="24" ht="21.0" customHeight="1">
      <c r="A24" s="36"/>
      <c r="B24" s="111"/>
      <c r="C24" s="112"/>
      <c r="D24" s="112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</row>
    <row r="25" ht="21.0" customHeight="1">
      <c r="A25" s="36"/>
      <c r="B25" s="111"/>
      <c r="C25" s="112"/>
      <c r="D25" s="112"/>
      <c r="E25" s="40"/>
      <c r="F25" s="40"/>
      <c r="G25" s="40"/>
      <c r="H25" s="37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</row>
    <row r="26" ht="21.0" customHeight="1">
      <c r="A26" s="12"/>
      <c r="B26" s="112"/>
      <c r="C26" s="112"/>
      <c r="D26" s="111"/>
      <c r="E26" s="20"/>
      <c r="F26" s="20"/>
      <c r="G26" s="20"/>
      <c r="H26" s="37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</row>
    <row r="27" ht="21.0" customHeight="1">
      <c r="A27" s="12"/>
      <c r="B27" s="111"/>
      <c r="C27" s="111"/>
      <c r="D27" s="111"/>
      <c r="E27" s="20"/>
      <c r="F27" s="20"/>
      <c r="G27" s="20"/>
      <c r="H27" s="37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</row>
    <row r="28" ht="21.0" customHeight="1">
      <c r="A28" s="12"/>
      <c r="B28" s="112"/>
      <c r="C28" s="112"/>
      <c r="D28" s="111"/>
      <c r="E28" s="20"/>
      <c r="F28" s="20"/>
      <c r="G28" s="20"/>
      <c r="H28" s="37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</row>
    <row r="29" ht="21.0" customHeight="1">
      <c r="A29" s="12"/>
      <c r="B29" s="112"/>
      <c r="C29" s="112"/>
      <c r="D29" s="111"/>
      <c r="E29" s="20"/>
      <c r="F29" s="20"/>
      <c r="G29" s="20"/>
      <c r="H29" s="4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</row>
    <row r="30" ht="21.0" customHeight="1">
      <c r="A30" s="12"/>
      <c r="B30" s="112"/>
      <c r="C30" s="112"/>
      <c r="D30" s="111"/>
      <c r="E30" s="20"/>
      <c r="F30" s="20"/>
      <c r="G30" s="20"/>
      <c r="H30" s="4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</row>
    <row r="31" ht="21.0" customHeight="1">
      <c r="A31" s="12"/>
      <c r="B31" s="112"/>
      <c r="C31" s="112"/>
      <c r="D31" s="111"/>
      <c r="E31" s="20"/>
      <c r="F31" s="20"/>
      <c r="G31" s="20"/>
      <c r="H31" s="4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</row>
    <row r="32" ht="21.0" customHeight="1">
      <c r="A32" s="12"/>
      <c r="B32" s="112"/>
      <c r="C32" s="112"/>
      <c r="D32" s="111"/>
      <c r="E32" s="20"/>
      <c r="F32" s="20"/>
      <c r="G32" s="20"/>
      <c r="H32" s="4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</row>
    <row r="33" ht="21.0" customHeight="1">
      <c r="A33" s="12"/>
      <c r="B33" s="112"/>
      <c r="C33" s="112"/>
      <c r="D33" s="111"/>
      <c r="E33" s="20"/>
      <c r="F33" s="20"/>
      <c r="G33" s="20"/>
      <c r="H33" s="4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</row>
    <row r="34" ht="21.0" customHeight="1">
      <c r="A34" s="12"/>
      <c r="B34" s="111"/>
      <c r="C34" s="111"/>
      <c r="D34" s="112"/>
      <c r="E34" s="37"/>
      <c r="F34" s="37"/>
      <c r="G34" s="37"/>
      <c r="H34" s="40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</row>
    <row r="35" ht="21.0" customHeight="1">
      <c r="A35" s="12"/>
      <c r="B35" s="112"/>
      <c r="C35" s="112"/>
      <c r="D35" s="112"/>
      <c r="E35" s="37"/>
      <c r="F35" s="37"/>
      <c r="G35" s="37"/>
      <c r="H35" s="40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</row>
    <row r="36" ht="21.0" customHeight="1">
      <c r="A36" s="12"/>
      <c r="B36" s="112"/>
      <c r="C36" s="112"/>
      <c r="D36" s="112"/>
      <c r="E36" s="37"/>
      <c r="F36" s="37"/>
      <c r="G36" s="37"/>
      <c r="H36" s="40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</row>
    <row r="37" ht="21.0" customHeight="1">
      <c r="A37" s="12"/>
      <c r="B37" s="112"/>
      <c r="C37" s="112"/>
      <c r="D37" s="112"/>
      <c r="E37" s="37"/>
      <c r="F37" s="37"/>
      <c r="G37" s="37"/>
      <c r="H37" s="40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</row>
    <row r="38" ht="21.0" customHeight="1">
      <c r="A38" s="12"/>
      <c r="B38" s="112"/>
      <c r="C38" s="112"/>
      <c r="D38" s="112"/>
      <c r="E38" s="37"/>
      <c r="F38" s="37"/>
      <c r="G38" s="37"/>
      <c r="H38" s="40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</row>
    <row r="39" ht="21.0" customHeight="1">
      <c r="A39" s="12"/>
      <c r="B39" s="112"/>
      <c r="C39" s="112"/>
      <c r="D39" s="112"/>
      <c r="E39" s="37"/>
      <c r="F39" s="37"/>
      <c r="G39" s="37"/>
      <c r="H39" s="40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</row>
    <row r="40" ht="21.0" customHeight="1">
      <c r="A40" s="12"/>
      <c r="B40" s="112"/>
      <c r="C40" s="112"/>
      <c r="D40" s="112"/>
      <c r="E40" s="37"/>
      <c r="F40" s="37"/>
      <c r="G40" s="37"/>
      <c r="H40" s="40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</row>
    <row r="41" ht="21.0" customHeight="1">
      <c r="A41" s="12"/>
      <c r="B41" s="112"/>
      <c r="C41" s="112"/>
      <c r="D41" s="112"/>
      <c r="E41" s="37"/>
      <c r="F41" s="37"/>
      <c r="G41" s="37"/>
      <c r="H41" s="40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</row>
    <row r="42" ht="21.0" customHeight="1">
      <c r="A42" s="12"/>
      <c r="B42" s="112"/>
      <c r="C42" s="112"/>
      <c r="D42" s="113"/>
      <c r="E42" s="37"/>
      <c r="F42" s="37"/>
      <c r="G42" s="37"/>
      <c r="H42" s="40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</row>
    <row r="43" ht="21.0" customHeight="1">
      <c r="A43" s="12"/>
      <c r="B43" s="112"/>
      <c r="C43" s="112"/>
      <c r="D43" s="113"/>
      <c r="E43" s="37"/>
      <c r="F43" s="37"/>
      <c r="G43" s="37"/>
      <c r="H43" s="40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</row>
    <row r="44" ht="21.0" customHeight="1">
      <c r="A44" s="12"/>
      <c r="B44" s="112"/>
      <c r="C44" s="112"/>
      <c r="D44" s="112"/>
      <c r="E44" s="37"/>
      <c r="F44" s="37"/>
      <c r="G44" s="37"/>
      <c r="H44" s="40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</row>
    <row r="45" ht="21.0" customHeight="1">
      <c r="A45" s="12"/>
      <c r="B45" s="112"/>
      <c r="C45" s="112"/>
      <c r="D45" s="112"/>
      <c r="E45" s="37"/>
      <c r="F45" s="37"/>
      <c r="G45" s="37"/>
      <c r="H45" s="40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</row>
    <row r="46" ht="21.0" customHeight="1">
      <c r="A46" s="12"/>
      <c r="B46" s="112"/>
      <c r="C46" s="112"/>
      <c r="D46" s="112"/>
      <c r="E46" s="37"/>
      <c r="F46" s="37"/>
      <c r="G46" s="37"/>
      <c r="H46" s="40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</row>
    <row r="47" ht="21.0" customHeight="1">
      <c r="A47" s="12"/>
      <c r="B47" s="112"/>
      <c r="C47" s="112"/>
      <c r="D47" s="112"/>
      <c r="E47" s="37"/>
      <c r="F47" s="37"/>
      <c r="G47" s="37"/>
      <c r="H47" s="40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</row>
    <row r="48" ht="21.0" customHeight="1">
      <c r="A48" s="12"/>
      <c r="B48" s="112"/>
      <c r="C48" s="112"/>
      <c r="D48" s="112"/>
      <c r="E48" s="37"/>
      <c r="F48" s="37"/>
      <c r="G48" s="37"/>
      <c r="H48" s="40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</row>
    <row r="49" ht="21.0" customHeight="1">
      <c r="A49" s="12"/>
      <c r="B49" s="112"/>
      <c r="C49" s="112"/>
      <c r="D49" s="112"/>
      <c r="E49" s="37"/>
      <c r="F49" s="37"/>
      <c r="G49" s="37"/>
      <c r="H49" s="40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</row>
    <row r="50" ht="21.0" customHeight="1">
      <c r="A50" s="12"/>
      <c r="B50" s="112"/>
      <c r="C50" s="112"/>
      <c r="D50" s="112"/>
      <c r="E50" s="37"/>
      <c r="F50" s="37"/>
      <c r="G50" s="37"/>
      <c r="H50" s="40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</row>
    <row r="51" ht="21.0" customHeight="1">
      <c r="A51" s="12"/>
      <c r="B51" s="112"/>
      <c r="C51" s="112"/>
      <c r="D51" s="112"/>
      <c r="E51" s="37"/>
      <c r="F51" s="37"/>
      <c r="G51" s="37"/>
      <c r="H51" s="40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</row>
    <row r="52" ht="21.0" customHeight="1">
      <c r="A52" s="12"/>
      <c r="B52" s="112"/>
      <c r="C52" s="112"/>
      <c r="D52" s="112"/>
      <c r="E52" s="37"/>
      <c r="F52" s="37"/>
      <c r="G52" s="37"/>
      <c r="H52" s="40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</row>
    <row r="53" ht="21.0" customHeight="1">
      <c r="A53" s="12"/>
      <c r="B53" s="112"/>
      <c r="C53" s="112"/>
      <c r="D53" s="112"/>
      <c r="E53" s="37"/>
      <c r="F53" s="37"/>
      <c r="G53" s="37"/>
      <c r="H53" s="40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</row>
    <row r="54" ht="21.0" customHeight="1">
      <c r="A54" s="12"/>
      <c r="B54" s="112"/>
      <c r="C54" s="112"/>
      <c r="D54" s="112"/>
      <c r="E54" s="37"/>
      <c r="F54" s="37"/>
      <c r="G54" s="37"/>
      <c r="H54" s="40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</row>
    <row r="55" ht="21.0" customHeight="1">
      <c r="A55" s="12"/>
      <c r="B55" s="112"/>
      <c r="C55" s="112"/>
      <c r="D55" s="112"/>
      <c r="E55" s="37"/>
      <c r="F55" s="37"/>
      <c r="G55" s="37"/>
      <c r="H55" s="40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</row>
    <row r="56" ht="21.0" customHeight="1">
      <c r="A56" s="12"/>
      <c r="B56" s="112"/>
      <c r="C56" s="112"/>
      <c r="D56" s="112"/>
      <c r="E56" s="37"/>
      <c r="F56" s="37"/>
      <c r="G56" s="37"/>
      <c r="H56" s="40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</row>
    <row r="57" ht="21.0" customHeight="1">
      <c r="A57" s="12"/>
      <c r="B57" s="112"/>
      <c r="C57" s="112"/>
      <c r="D57" s="112"/>
      <c r="E57" s="37"/>
      <c r="F57" s="37"/>
      <c r="G57" s="37"/>
      <c r="H57" s="40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</row>
    <row r="58" ht="21.0" customHeight="1">
      <c r="A58" s="12"/>
      <c r="B58" s="112"/>
      <c r="C58" s="112"/>
      <c r="D58" s="112"/>
      <c r="E58" s="37"/>
      <c r="F58" s="37"/>
      <c r="G58" s="37"/>
      <c r="H58" s="40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</row>
    <row r="59" ht="21.0" customHeight="1">
      <c r="A59" s="12"/>
      <c r="B59" s="112"/>
      <c r="C59" s="112"/>
      <c r="D59" s="112"/>
      <c r="E59" s="37"/>
      <c r="F59" s="37"/>
      <c r="G59" s="37"/>
      <c r="H59" s="40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</row>
    <row r="60" ht="21.0" customHeight="1">
      <c r="A60" s="12"/>
      <c r="B60" s="112"/>
      <c r="C60" s="112"/>
      <c r="D60" s="112"/>
      <c r="E60" s="37"/>
      <c r="F60" s="37"/>
      <c r="G60" s="37"/>
      <c r="H60" s="40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</row>
    <row r="61" ht="21.0" customHeight="1">
      <c r="A61" s="12"/>
      <c r="B61" s="112"/>
      <c r="C61" s="112"/>
      <c r="D61" s="112"/>
      <c r="E61" s="37"/>
      <c r="F61" s="37"/>
      <c r="G61" s="37"/>
      <c r="H61" s="40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</row>
    <row r="62" ht="21.0" customHeight="1">
      <c r="A62" s="12"/>
      <c r="B62" s="112"/>
      <c r="C62" s="112"/>
      <c r="D62" s="112"/>
      <c r="E62" s="37"/>
      <c r="F62" s="37"/>
      <c r="G62" s="37"/>
      <c r="H62" s="40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</row>
    <row r="63" ht="21.0" customHeight="1">
      <c r="A63" s="12"/>
      <c r="B63" s="112"/>
      <c r="C63" s="112"/>
      <c r="D63" s="112"/>
      <c r="E63" s="37"/>
      <c r="F63" s="37"/>
      <c r="G63" s="37"/>
      <c r="H63" s="40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</row>
    <row r="64" ht="21.0" customHeight="1">
      <c r="A64" s="12"/>
      <c r="B64" s="112"/>
      <c r="C64" s="112"/>
      <c r="D64" s="112"/>
      <c r="E64" s="37"/>
      <c r="F64" s="37"/>
      <c r="G64" s="37"/>
      <c r="H64" s="40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</row>
    <row r="65" ht="21.0" customHeight="1">
      <c r="A65" s="12"/>
      <c r="B65" s="112"/>
      <c r="C65" s="112"/>
      <c r="D65" s="112"/>
      <c r="E65" s="37"/>
      <c r="F65" s="37"/>
      <c r="G65" s="37"/>
      <c r="H65" s="40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</row>
    <row r="66" ht="21.0" customHeight="1">
      <c r="A66" s="12"/>
      <c r="B66" s="112"/>
      <c r="C66" s="112"/>
      <c r="D66" s="112"/>
      <c r="E66" s="37"/>
      <c r="F66" s="37"/>
      <c r="G66" s="37"/>
      <c r="H66" s="40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</row>
    <row r="67" ht="21.0" customHeight="1">
      <c r="A67" s="12"/>
      <c r="B67" s="112"/>
      <c r="C67" s="112"/>
      <c r="D67" s="112"/>
      <c r="E67" s="37"/>
      <c r="F67" s="37"/>
      <c r="G67" s="37"/>
      <c r="H67" s="40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</row>
    <row r="68" ht="21.0" customHeight="1">
      <c r="A68" s="12"/>
      <c r="B68" s="112"/>
      <c r="C68" s="112"/>
      <c r="D68" s="112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</row>
    <row r="69" ht="21.0" customHeight="1">
      <c r="A69" s="12"/>
      <c r="B69" s="112"/>
      <c r="C69" s="112"/>
      <c r="D69" s="112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</row>
    <row r="70" ht="21.0" customHeight="1">
      <c r="A70" s="12"/>
      <c r="B70" s="112"/>
      <c r="C70" s="112"/>
      <c r="D70" s="112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</row>
    <row r="71" ht="21.0" customHeight="1">
      <c r="A71" s="12"/>
      <c r="B71" s="112"/>
      <c r="C71" s="112"/>
      <c r="D71" s="112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</row>
    <row r="72" ht="21.0" customHeight="1">
      <c r="A72" s="12"/>
      <c r="B72" s="112"/>
      <c r="C72" s="112"/>
      <c r="D72" s="112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</row>
    <row r="73" ht="21.0" customHeight="1">
      <c r="A73" s="12"/>
      <c r="B73" s="112"/>
      <c r="C73" s="112"/>
      <c r="D73" s="112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</row>
    <row r="74" ht="21.0" customHeight="1">
      <c r="A74" s="12"/>
      <c r="B74" s="112"/>
      <c r="C74" s="112"/>
      <c r="D74" s="112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</row>
    <row r="75" ht="21.0" customHeight="1">
      <c r="A75" s="12"/>
      <c r="B75" s="112"/>
      <c r="C75" s="112"/>
      <c r="D75" s="112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</row>
    <row r="76" ht="21.0" customHeight="1">
      <c r="A76" s="12"/>
      <c r="B76" s="112"/>
      <c r="C76" s="112"/>
      <c r="D76" s="112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</row>
    <row r="77" ht="21.0" customHeight="1">
      <c r="A77" s="12"/>
      <c r="B77" s="112"/>
      <c r="C77" s="112"/>
      <c r="D77" s="112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</row>
    <row r="78" ht="21.0" customHeight="1">
      <c r="A78" s="12"/>
      <c r="B78" s="112"/>
      <c r="C78" s="112"/>
      <c r="D78" s="112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</row>
    <row r="79" ht="21.0" customHeight="1">
      <c r="A79" s="12"/>
      <c r="B79" s="112"/>
      <c r="C79" s="112"/>
      <c r="D79" s="112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</row>
    <row r="80" ht="21.0" customHeight="1">
      <c r="A80" s="12"/>
      <c r="B80" s="112"/>
      <c r="C80" s="112"/>
      <c r="D80" s="112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</row>
    <row r="81" ht="21.0" customHeight="1">
      <c r="A81" s="12"/>
      <c r="B81" s="104"/>
      <c r="C81" s="104"/>
      <c r="D81" s="104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</row>
    <row r="82" ht="21.0" customHeight="1">
      <c r="A82" s="12"/>
      <c r="B82" s="104"/>
      <c r="C82" s="104"/>
      <c r="D82" s="104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</row>
    <row r="83" ht="21.0" customHeight="1">
      <c r="A83" s="12"/>
      <c r="B83" s="104"/>
      <c r="C83" s="104"/>
      <c r="D83" s="104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</row>
    <row r="84" ht="21.0" customHeight="1">
      <c r="A84" s="12"/>
      <c r="B84" s="104"/>
      <c r="C84" s="104"/>
      <c r="D84" s="104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</row>
    <row r="85" ht="21.0" customHeight="1">
      <c r="A85" s="12"/>
      <c r="B85" s="104"/>
      <c r="C85" s="104"/>
      <c r="D85" s="104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</row>
    <row r="86" ht="21.0" customHeight="1">
      <c r="A86" s="12"/>
      <c r="B86" s="104"/>
      <c r="C86" s="104"/>
      <c r="D86" s="104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</row>
    <row r="87" ht="21.0" customHeight="1">
      <c r="A87" s="12"/>
      <c r="B87" s="104"/>
      <c r="C87" s="104"/>
      <c r="D87" s="104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</row>
    <row r="88" ht="21.0" customHeight="1">
      <c r="A88" s="12"/>
      <c r="B88" s="104"/>
      <c r="C88" s="104"/>
      <c r="D88" s="103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</row>
    <row r="89" ht="21.0" customHeight="1">
      <c r="A89" s="12"/>
      <c r="B89" s="104"/>
      <c r="C89" s="104"/>
      <c r="D89" s="103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</row>
    <row r="90" ht="21.0" customHeight="1">
      <c r="A90" s="12"/>
      <c r="B90" s="104"/>
      <c r="C90" s="104"/>
      <c r="D90" s="104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</row>
    <row r="91" ht="21.0" customHeight="1">
      <c r="A91" s="12"/>
      <c r="B91" s="104"/>
      <c r="C91" s="104"/>
      <c r="D91" s="104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</row>
    <row r="92" ht="21.0" customHeight="1">
      <c r="A92" s="12"/>
      <c r="B92" s="104"/>
      <c r="C92" s="104"/>
      <c r="D92" s="104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</row>
    <row r="93" ht="21.0" customHeight="1">
      <c r="A93" s="12"/>
      <c r="B93" s="104"/>
      <c r="C93" s="104"/>
      <c r="D93" s="104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</row>
    <row r="94" ht="21.0" customHeight="1">
      <c r="A94" s="12"/>
      <c r="B94" s="103"/>
      <c r="C94" s="103"/>
      <c r="D94" s="104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</row>
    <row r="95" ht="21.0" customHeight="1">
      <c r="A95" s="12"/>
      <c r="B95" s="104"/>
      <c r="C95" s="104"/>
      <c r="D95" s="104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</row>
    <row r="96" ht="21.0" customHeight="1">
      <c r="A96" s="12"/>
      <c r="B96" s="104"/>
      <c r="C96" s="104"/>
      <c r="D96" s="104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</row>
    <row r="97" ht="21.0" customHeight="1">
      <c r="A97" s="12"/>
      <c r="B97" s="104"/>
      <c r="C97" s="104"/>
      <c r="D97" s="104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</row>
    <row r="98" ht="21.0" customHeight="1">
      <c r="A98" s="12"/>
      <c r="B98" s="104"/>
      <c r="C98" s="104"/>
      <c r="D98" s="104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</row>
    <row r="99" ht="21.0" customHeight="1">
      <c r="A99" s="12"/>
      <c r="B99" s="104"/>
      <c r="C99" s="104"/>
      <c r="D99" s="104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</row>
    <row r="100" ht="21.0" customHeight="1">
      <c r="A100" s="12"/>
      <c r="B100" s="104"/>
      <c r="C100" s="104"/>
      <c r="D100" s="104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</row>
    <row r="101" ht="21.0" customHeight="1">
      <c r="A101" s="12"/>
      <c r="B101" s="104"/>
      <c r="C101" s="104"/>
      <c r="D101" s="104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</row>
    <row r="102" ht="21.0" customHeight="1">
      <c r="A102" s="12"/>
      <c r="B102" s="104"/>
      <c r="C102" s="104"/>
      <c r="D102" s="104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</row>
    <row r="103" ht="21.0" customHeight="1">
      <c r="A103" s="12"/>
      <c r="B103" s="104"/>
      <c r="C103" s="104"/>
      <c r="D103" s="104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</row>
    <row r="104" ht="21.0" customHeight="1">
      <c r="A104" s="12"/>
      <c r="B104" s="104"/>
      <c r="C104" s="104"/>
      <c r="D104" s="104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</row>
    <row r="105" ht="21.0" customHeight="1">
      <c r="A105" s="12"/>
      <c r="B105" s="104"/>
      <c r="C105" s="104"/>
      <c r="D105" s="104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</row>
    <row r="106" ht="21.0" customHeight="1">
      <c r="A106" s="12"/>
      <c r="B106" s="104"/>
      <c r="C106" s="104"/>
      <c r="D106" s="104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</row>
    <row r="107" ht="21.0" customHeight="1">
      <c r="A107" s="12"/>
      <c r="B107" s="104"/>
      <c r="C107" s="104"/>
      <c r="D107" s="104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</row>
    <row r="108" ht="21.0" customHeight="1">
      <c r="A108" s="12"/>
      <c r="B108" s="104"/>
      <c r="C108" s="104"/>
      <c r="D108" s="104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</row>
    <row r="109" ht="21.0" customHeight="1">
      <c r="A109" s="12"/>
      <c r="B109" s="104"/>
      <c r="C109" s="104"/>
      <c r="D109" s="104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</row>
    <row r="110" ht="21.0" customHeight="1">
      <c r="A110" s="12"/>
      <c r="B110" s="104"/>
      <c r="C110" s="104"/>
      <c r="D110" s="10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</row>
    <row r="111" ht="21.0" customHeight="1">
      <c r="A111" s="12"/>
      <c r="B111" s="104"/>
      <c r="C111" s="104"/>
      <c r="D111" s="10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</row>
    <row r="112" ht="21.0" customHeight="1">
      <c r="A112" s="12"/>
      <c r="B112" s="104"/>
      <c r="C112" s="104"/>
      <c r="D112" s="10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</row>
    <row r="113" ht="21.0" customHeight="1">
      <c r="A113" s="12"/>
      <c r="B113" s="104"/>
      <c r="C113" s="104"/>
      <c r="D113" s="10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</row>
    <row r="114" ht="21.0" customHeight="1">
      <c r="A114" s="12"/>
      <c r="B114" s="104"/>
      <c r="C114" s="104"/>
      <c r="D114" s="103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</row>
    <row r="115" ht="21.0" customHeight="1">
      <c r="A115" s="12"/>
      <c r="B115" s="104"/>
      <c r="C115" s="104"/>
      <c r="D115" s="104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</row>
    <row r="116" ht="21.0" customHeight="1">
      <c r="A116" s="12"/>
      <c r="B116" s="103"/>
      <c r="C116" s="103"/>
      <c r="D116" s="104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</row>
    <row r="117" ht="21.0" customHeight="1">
      <c r="A117" s="12"/>
      <c r="B117" s="104"/>
      <c r="C117" s="104"/>
      <c r="D117" s="104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</row>
    <row r="118" ht="21.0" customHeight="1">
      <c r="A118" s="12"/>
      <c r="B118" s="104"/>
      <c r="C118" s="104"/>
      <c r="D118" s="104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</row>
    <row r="119" ht="21.0" customHeight="1">
      <c r="A119" s="12"/>
      <c r="B119" s="104"/>
      <c r="C119" s="104"/>
      <c r="D119" s="104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</row>
    <row r="120" ht="21.0" customHeight="1">
      <c r="A120" s="12"/>
      <c r="B120" s="104"/>
      <c r="C120" s="104"/>
      <c r="D120" s="104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</row>
    <row r="121" ht="21.0" customHeight="1">
      <c r="A121" s="12"/>
      <c r="B121" s="104"/>
      <c r="C121" s="104"/>
      <c r="D121" s="104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</row>
    <row r="122" ht="21.0" customHeight="1">
      <c r="A122" s="12"/>
      <c r="B122" s="104"/>
      <c r="C122" s="104"/>
      <c r="D122" s="104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</row>
    <row r="123" ht="21.0" customHeight="1">
      <c r="A123" s="12"/>
      <c r="B123" s="103"/>
      <c r="C123" s="103"/>
      <c r="D123" s="104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</row>
    <row r="124" ht="21.0" customHeight="1">
      <c r="A124" s="12"/>
      <c r="B124" s="104"/>
      <c r="C124" s="104"/>
      <c r="D124" s="104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</row>
    <row r="125" ht="21.0" customHeight="1">
      <c r="A125" s="12"/>
      <c r="B125" s="104"/>
      <c r="C125" s="104"/>
      <c r="D125" s="104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</row>
    <row r="126" ht="21.0" customHeight="1">
      <c r="A126" s="12"/>
      <c r="B126" s="104"/>
      <c r="C126" s="104"/>
      <c r="D126" s="104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</row>
    <row r="127" ht="21.0" customHeight="1">
      <c r="A127" s="12"/>
      <c r="B127" s="103"/>
      <c r="C127" s="103"/>
      <c r="D127" s="104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</row>
    <row r="128" ht="21.0" customHeight="1">
      <c r="A128" s="12"/>
      <c r="B128" s="104"/>
      <c r="C128" s="104"/>
      <c r="D128" s="104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</row>
    <row r="129" ht="21.0" customHeight="1">
      <c r="A129" s="12"/>
      <c r="B129" s="104"/>
      <c r="C129" s="104"/>
      <c r="D129" s="104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</row>
    <row r="130" ht="21.0" customHeight="1">
      <c r="A130" s="12"/>
      <c r="B130" s="104"/>
      <c r="C130" s="104"/>
      <c r="D130" s="104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</row>
    <row r="131" ht="21.0" customHeight="1">
      <c r="A131" s="12"/>
      <c r="B131" s="103"/>
      <c r="C131" s="103"/>
      <c r="D131" s="104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</row>
    <row r="132" ht="21.0" customHeight="1">
      <c r="A132" s="12"/>
      <c r="B132" s="104"/>
      <c r="C132" s="104"/>
      <c r="D132" s="104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</row>
    <row r="133" ht="21.0" customHeight="1">
      <c r="A133" s="12"/>
      <c r="B133" s="104"/>
      <c r="C133" s="104"/>
      <c r="D133" s="104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</row>
    <row r="134" ht="21.0" customHeight="1">
      <c r="A134" s="12"/>
      <c r="B134" s="104"/>
      <c r="C134" s="104"/>
      <c r="D134" s="104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</row>
    <row r="135" ht="21.0" customHeight="1">
      <c r="A135" s="12"/>
      <c r="B135" s="104"/>
      <c r="C135" s="104"/>
      <c r="D135" s="104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</row>
    <row r="136" ht="21.0" customHeight="1">
      <c r="A136" s="12"/>
      <c r="B136" s="104"/>
      <c r="C136" s="104"/>
      <c r="D136" s="104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</row>
    <row r="137" ht="21.0" customHeight="1">
      <c r="A137" s="12"/>
      <c r="B137" s="104"/>
      <c r="C137" s="104"/>
      <c r="D137" s="104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</row>
    <row r="138" ht="21.0" customHeight="1">
      <c r="A138" s="12"/>
      <c r="B138" s="104"/>
      <c r="C138" s="104"/>
      <c r="D138" s="10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</row>
    <row r="139" ht="21.0" customHeight="1">
      <c r="A139" s="12"/>
      <c r="B139" s="104"/>
      <c r="C139" s="104"/>
      <c r="D139" s="10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</row>
    <row r="140" ht="21.0" customHeight="1">
      <c r="A140" s="12"/>
      <c r="B140" s="104"/>
      <c r="C140" s="104"/>
      <c r="D140" s="10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</row>
    <row r="141" ht="21.0" customHeight="1">
      <c r="A141" s="12"/>
      <c r="B141" s="104"/>
      <c r="C141" s="104"/>
      <c r="D141" s="10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</row>
    <row r="142" ht="20.25" customHeight="1">
      <c r="A142" s="12"/>
      <c r="B142" s="103"/>
      <c r="C142" s="103"/>
      <c r="D142" s="10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</row>
    <row r="143" ht="20.25" customHeight="1">
      <c r="A143" s="12"/>
      <c r="B143" s="104"/>
      <c r="C143" s="104"/>
      <c r="D143" s="10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</row>
    <row r="144" ht="20.25" customHeight="1">
      <c r="A144" s="12"/>
      <c r="B144" s="104"/>
      <c r="C144" s="104"/>
      <c r="D144" s="10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</row>
    <row r="145" ht="21.0" customHeight="1">
      <c r="A145" s="12"/>
      <c r="B145" s="103"/>
      <c r="C145" s="103"/>
      <c r="D145" s="10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</row>
    <row r="146" ht="21.0" customHeight="1">
      <c r="A146" s="12"/>
      <c r="B146" s="104"/>
      <c r="C146" s="104"/>
      <c r="D146" s="10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</row>
    <row r="147" ht="21.0" customHeight="1">
      <c r="A147" s="12"/>
      <c r="B147" s="104"/>
      <c r="C147" s="104"/>
      <c r="D147" s="104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</row>
    <row r="148" ht="21.0" customHeight="1">
      <c r="A148" s="12"/>
      <c r="B148" s="104"/>
      <c r="C148" s="104"/>
      <c r="D148" s="104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</row>
    <row r="149" ht="21.0" customHeight="1">
      <c r="A149" s="12"/>
      <c r="B149" s="104"/>
      <c r="C149" s="104"/>
      <c r="D149" s="104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</row>
    <row r="150" ht="21.0" customHeight="1">
      <c r="A150" s="12"/>
      <c r="B150" s="104"/>
      <c r="C150" s="104"/>
      <c r="D150" s="104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</row>
    <row r="151" ht="21.0" customHeight="1">
      <c r="A151" s="12"/>
      <c r="B151" s="104"/>
      <c r="C151" s="104"/>
      <c r="D151" s="104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</row>
    <row r="152" ht="21.0" customHeight="1">
      <c r="A152" s="12"/>
      <c r="B152" s="104"/>
      <c r="C152" s="104"/>
      <c r="D152" s="104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</row>
    <row r="153" ht="21.0" customHeight="1">
      <c r="A153" s="12"/>
      <c r="B153" s="104"/>
      <c r="C153" s="104"/>
      <c r="D153" s="104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</row>
    <row r="154" ht="21.0" customHeight="1">
      <c r="A154" s="12"/>
      <c r="B154" s="104"/>
      <c r="C154" s="104"/>
      <c r="D154" s="104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</row>
    <row r="155" ht="21.0" customHeight="1">
      <c r="A155" s="12"/>
      <c r="B155" s="104"/>
      <c r="C155" s="104"/>
      <c r="D155" s="104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</row>
    <row r="156" ht="21.0" customHeight="1">
      <c r="A156" s="12"/>
      <c r="B156" s="104"/>
      <c r="C156" s="104"/>
      <c r="D156" s="104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</row>
    <row r="157" ht="21.0" customHeight="1">
      <c r="A157" s="12"/>
      <c r="B157" s="104"/>
      <c r="C157" s="104"/>
      <c r="D157" s="104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</row>
    <row r="158" ht="21.0" customHeight="1">
      <c r="A158" s="12"/>
      <c r="B158" s="104"/>
      <c r="C158" s="104"/>
      <c r="D158" s="104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</row>
    <row r="159" ht="21.0" customHeight="1">
      <c r="A159" s="12"/>
      <c r="B159" s="104"/>
      <c r="C159" s="104"/>
      <c r="D159" s="104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</row>
    <row r="160" ht="21.0" customHeight="1">
      <c r="A160" s="12"/>
      <c r="B160" s="104"/>
      <c r="C160" s="104"/>
      <c r="D160" s="104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</row>
    <row r="161" ht="21.0" customHeight="1">
      <c r="A161" s="12"/>
      <c r="B161" s="104"/>
      <c r="C161" s="104"/>
      <c r="D161" s="104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</row>
    <row r="162" ht="21.0" customHeight="1">
      <c r="A162" s="12"/>
      <c r="B162" s="104"/>
      <c r="C162" s="104"/>
      <c r="D162" s="104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</row>
    <row r="163" ht="21.0" customHeight="1">
      <c r="A163" s="12"/>
      <c r="B163" s="104"/>
      <c r="C163" s="104"/>
      <c r="D163" s="104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</row>
    <row r="164" ht="21.0" customHeight="1">
      <c r="A164" s="12"/>
      <c r="B164" s="104"/>
      <c r="C164" s="104"/>
      <c r="D164" s="104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</row>
    <row r="165" ht="21.0" customHeight="1">
      <c r="A165" s="12"/>
      <c r="B165" s="104"/>
      <c r="C165" s="104"/>
      <c r="D165" s="104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</row>
    <row r="166" ht="21.0" customHeight="1">
      <c r="A166" s="12"/>
      <c r="B166" s="104"/>
      <c r="C166" s="104"/>
      <c r="D166" s="104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</row>
    <row r="167" ht="21.0" customHeight="1">
      <c r="A167" s="12"/>
      <c r="B167" s="104"/>
      <c r="C167" s="104"/>
      <c r="D167" s="104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</row>
    <row r="168" ht="21.0" customHeight="1">
      <c r="A168" s="12"/>
      <c r="B168" s="104"/>
      <c r="C168" s="104"/>
      <c r="D168" s="104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</row>
    <row r="169" ht="21.0" customHeight="1">
      <c r="A169" s="12"/>
      <c r="B169" s="103"/>
      <c r="C169" s="103"/>
      <c r="D169" s="104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</row>
    <row r="170" ht="21.0" customHeight="1">
      <c r="A170" s="12"/>
      <c r="B170" s="103"/>
      <c r="C170" s="103"/>
      <c r="D170" s="104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</row>
    <row r="171" ht="21.0" customHeight="1">
      <c r="A171" s="12"/>
      <c r="B171" s="104"/>
      <c r="C171" s="104"/>
      <c r="D171" s="104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</row>
    <row r="172" ht="21.0" customHeight="1">
      <c r="A172" s="12"/>
      <c r="B172" s="104"/>
      <c r="C172" s="104"/>
      <c r="D172" s="104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</row>
    <row r="173" ht="21.0" customHeight="1">
      <c r="A173" s="12"/>
      <c r="B173" s="104"/>
      <c r="C173" s="104"/>
      <c r="D173" s="104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</row>
    <row r="174" ht="21.0" customHeight="1">
      <c r="A174" s="12"/>
      <c r="B174" s="103"/>
      <c r="C174" s="103"/>
      <c r="D174" s="104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</row>
    <row r="175" ht="21.0" customHeight="1">
      <c r="A175" s="12"/>
      <c r="B175" s="104"/>
      <c r="C175" s="104"/>
      <c r="D175" s="104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</row>
    <row r="176" ht="21.0" customHeight="1">
      <c r="A176" s="12"/>
      <c r="B176" s="104"/>
      <c r="C176" s="104"/>
      <c r="D176" s="104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</row>
    <row r="177" ht="21.0" customHeight="1">
      <c r="A177" s="12"/>
      <c r="B177" s="104"/>
      <c r="C177" s="104"/>
      <c r="D177" s="104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</row>
    <row r="178" ht="21.0" customHeight="1">
      <c r="A178" s="12"/>
      <c r="B178" s="103"/>
      <c r="C178" s="103"/>
      <c r="D178" s="104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</row>
    <row r="179" ht="21.0" customHeight="1">
      <c r="A179" s="12"/>
      <c r="B179" s="104"/>
      <c r="C179" s="104"/>
      <c r="D179" s="104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</row>
    <row r="180" ht="21.0" customHeight="1">
      <c r="A180" s="12"/>
      <c r="B180" s="104"/>
      <c r="C180" s="104"/>
      <c r="D180" s="104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</row>
    <row r="181" ht="21.0" customHeight="1">
      <c r="A181" s="12"/>
      <c r="B181" s="103"/>
      <c r="C181" s="103"/>
      <c r="D181" s="104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0"/>
      <c r="CA181" s="40"/>
      <c r="CB181" s="40"/>
      <c r="CC181" s="40"/>
    </row>
    <row r="182" ht="21.0" customHeight="1">
      <c r="A182" s="12"/>
      <c r="B182" s="104"/>
      <c r="C182" s="104"/>
      <c r="D182" s="104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</row>
    <row r="183" ht="21.0" customHeight="1">
      <c r="A183" s="12"/>
      <c r="B183" s="104"/>
      <c r="C183" s="104"/>
      <c r="D183" s="104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</row>
    <row r="184" ht="21.0" customHeight="1">
      <c r="A184" s="12"/>
      <c r="B184" s="104"/>
      <c r="C184" s="104"/>
      <c r="D184" s="104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</row>
    <row r="185" ht="21.0" customHeight="1">
      <c r="A185" s="12"/>
      <c r="B185" s="104"/>
      <c r="C185" s="104"/>
      <c r="D185" s="104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</row>
    <row r="186" ht="21.0" customHeight="1">
      <c r="A186" s="12"/>
      <c r="B186" s="103"/>
      <c r="C186" s="103"/>
      <c r="D186" s="104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</row>
    <row r="187" ht="21.0" customHeight="1">
      <c r="A187" s="12"/>
      <c r="B187" s="104"/>
      <c r="C187" s="104"/>
      <c r="D187" s="104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</row>
    <row r="188" ht="21.0" customHeight="1">
      <c r="A188" s="12"/>
      <c r="B188" s="104"/>
      <c r="C188" s="104"/>
      <c r="D188" s="103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</row>
    <row r="189" ht="21.0" customHeight="1">
      <c r="A189" s="12"/>
      <c r="B189" s="104"/>
      <c r="C189" s="104"/>
      <c r="D189" s="104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</row>
    <row r="190" ht="21.0" customHeight="1">
      <c r="A190" s="12"/>
      <c r="B190" s="104"/>
      <c r="C190" s="104"/>
      <c r="D190" s="104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</row>
    <row r="191" ht="21.0" customHeight="1">
      <c r="A191" s="12"/>
      <c r="B191" s="104"/>
      <c r="C191" s="104"/>
      <c r="D191" s="104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</row>
    <row r="192" ht="21.0" customHeight="1">
      <c r="A192" s="12"/>
      <c r="B192" s="104"/>
      <c r="C192" s="104"/>
      <c r="D192" s="104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</row>
    <row r="193" ht="21.0" customHeight="1">
      <c r="A193" s="12"/>
      <c r="B193" s="104"/>
      <c r="C193" s="104"/>
      <c r="D193" s="104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</row>
    <row r="194" ht="21.0" customHeight="1">
      <c r="A194" s="12"/>
      <c r="B194" s="104"/>
      <c r="C194" s="104"/>
      <c r="D194" s="104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</row>
    <row r="195" ht="21.0" customHeight="1">
      <c r="A195" s="12"/>
      <c r="B195" s="104"/>
      <c r="C195" s="104"/>
      <c r="D195" s="104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</row>
    <row r="196" ht="21.0" customHeight="1">
      <c r="A196" s="12"/>
      <c r="B196" s="104"/>
      <c r="C196" s="104"/>
      <c r="D196" s="104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</row>
    <row r="197" ht="21.0" customHeight="1">
      <c r="A197" s="12"/>
      <c r="B197" s="104"/>
      <c r="C197" s="104"/>
      <c r="D197" s="104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</row>
    <row r="198" ht="21.0" customHeight="1">
      <c r="A198" s="12"/>
      <c r="B198" s="104"/>
      <c r="C198" s="104"/>
      <c r="D198" s="104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</row>
    <row r="199" ht="21.0" customHeight="1">
      <c r="A199" s="12"/>
      <c r="B199" s="103"/>
      <c r="C199" s="103"/>
      <c r="D199" s="104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</row>
    <row r="200" ht="21.0" customHeight="1">
      <c r="A200" s="12"/>
      <c r="B200" s="104"/>
      <c r="C200" s="104"/>
      <c r="D200" s="104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</row>
    <row r="201" ht="21.0" customHeight="1">
      <c r="A201" s="12"/>
      <c r="B201" s="104"/>
      <c r="C201" s="104"/>
      <c r="D201" s="104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</row>
    <row r="202" ht="21.0" customHeight="1">
      <c r="A202" s="12"/>
      <c r="B202" s="103"/>
      <c r="C202" s="103"/>
      <c r="D202" s="104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</row>
    <row r="203" ht="21.0" customHeight="1">
      <c r="A203" s="12"/>
      <c r="B203" s="104"/>
      <c r="C203" s="104"/>
      <c r="D203" s="104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</row>
    <row r="204" ht="21.0" customHeight="1">
      <c r="A204" s="12"/>
      <c r="B204" s="104"/>
      <c r="C204" s="104"/>
      <c r="D204" s="104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</row>
    <row r="205" ht="21.0" customHeight="1">
      <c r="A205" s="12"/>
      <c r="B205" s="103"/>
      <c r="C205" s="103"/>
      <c r="D205" s="104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</row>
    <row r="206" ht="21.0" customHeight="1">
      <c r="A206" s="12"/>
      <c r="B206" s="104"/>
      <c r="C206" s="104"/>
      <c r="D206" s="104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</row>
    <row r="207" ht="21.0" customHeight="1">
      <c r="A207" s="12"/>
      <c r="B207" s="104"/>
      <c r="C207" s="104"/>
      <c r="D207" s="104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</row>
    <row r="208" ht="21.0" customHeight="1">
      <c r="A208" s="12"/>
      <c r="B208" s="104"/>
      <c r="C208" s="104"/>
      <c r="D208" s="103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</row>
    <row r="209" ht="21.0" customHeight="1">
      <c r="A209" s="12"/>
      <c r="B209" s="104"/>
      <c r="C209" s="104"/>
      <c r="D209" s="104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</row>
    <row r="210" ht="21.0" customHeight="1">
      <c r="A210" s="12"/>
      <c r="B210" s="104"/>
      <c r="C210" s="104"/>
      <c r="D210" s="104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</row>
    <row r="211" ht="21.0" customHeight="1">
      <c r="A211" s="12"/>
      <c r="B211" s="104"/>
      <c r="C211" s="104"/>
      <c r="D211" s="104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</row>
    <row r="212" ht="21.0" customHeight="1">
      <c r="A212" s="12"/>
      <c r="B212" s="104"/>
      <c r="C212" s="104"/>
      <c r="D212" s="104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</row>
    <row r="213" ht="21.0" customHeight="1">
      <c r="A213" s="12"/>
      <c r="B213" s="103"/>
      <c r="C213" s="103"/>
      <c r="D213" s="104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</row>
    <row r="214" ht="21.0" customHeight="1">
      <c r="A214" s="12"/>
      <c r="B214" s="104"/>
      <c r="C214" s="104"/>
      <c r="D214" s="104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</row>
    <row r="215" ht="21.0" customHeight="1">
      <c r="A215" s="12"/>
      <c r="B215" s="104"/>
      <c r="C215" s="104"/>
      <c r="D215" s="104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</row>
    <row r="216" ht="21.0" customHeight="1">
      <c r="A216" s="12"/>
      <c r="B216" s="104"/>
      <c r="C216" s="104"/>
      <c r="D216" s="104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</row>
    <row r="217" ht="21.0" customHeight="1">
      <c r="A217" s="12"/>
      <c r="B217" s="104"/>
      <c r="C217" s="104"/>
      <c r="D217" s="104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</row>
    <row r="218" ht="21.0" customHeight="1">
      <c r="A218" s="12"/>
      <c r="B218" s="103"/>
      <c r="C218" s="103"/>
      <c r="D218" s="104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</row>
    <row r="219" ht="21.0" customHeight="1">
      <c r="A219" s="12"/>
      <c r="B219" s="104"/>
      <c r="C219" s="104"/>
      <c r="D219" s="104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</row>
    <row r="220" ht="21.0" customHeight="1">
      <c r="A220" s="12"/>
      <c r="B220" s="104"/>
      <c r="C220" s="104"/>
      <c r="D220" s="104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</row>
    <row r="221" ht="21.0" customHeight="1">
      <c r="A221" s="12"/>
      <c r="B221" s="103"/>
      <c r="C221" s="103"/>
      <c r="D221" s="104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</row>
    <row r="222" ht="21.0" customHeight="1">
      <c r="A222" s="12"/>
      <c r="B222" s="104"/>
      <c r="C222" s="104"/>
      <c r="D222" s="104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</row>
    <row r="223" ht="21.0" customHeight="1">
      <c r="A223" s="12"/>
      <c r="B223" s="104"/>
      <c r="C223" s="104"/>
      <c r="D223" s="103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</row>
    <row r="224" ht="21.0" customHeight="1">
      <c r="A224" s="12"/>
      <c r="B224" s="103"/>
      <c r="C224" s="103"/>
      <c r="D224" s="104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</row>
    <row r="225" ht="21.0" customHeight="1">
      <c r="A225" s="12"/>
      <c r="B225" s="104"/>
      <c r="C225" s="104"/>
      <c r="D225" s="104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</row>
    <row r="226" ht="21.0" customHeight="1">
      <c r="A226" s="12"/>
      <c r="B226" s="104"/>
      <c r="C226" s="104"/>
      <c r="D226" s="104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</row>
    <row r="227" ht="21.0" customHeight="1">
      <c r="A227" s="12"/>
      <c r="B227" s="104"/>
      <c r="C227" s="104"/>
      <c r="D227" s="104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</row>
    <row r="228" ht="21.0" customHeight="1">
      <c r="A228" s="12"/>
      <c r="B228" s="104"/>
      <c r="C228" s="104"/>
      <c r="D228" s="104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</row>
    <row r="229" ht="21.0" customHeight="1">
      <c r="A229" s="12"/>
      <c r="B229" s="104"/>
      <c r="C229" s="104"/>
      <c r="D229" s="104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</row>
    <row r="230" ht="21.0" customHeight="1">
      <c r="A230" s="12"/>
      <c r="B230" s="104"/>
      <c r="C230" s="104"/>
      <c r="D230" s="104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</row>
    <row r="231" ht="21.0" customHeight="1">
      <c r="A231" s="12"/>
      <c r="B231" s="104"/>
      <c r="C231" s="104"/>
      <c r="D231" s="104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</row>
    <row r="232" ht="21.0" customHeight="1">
      <c r="A232" s="12"/>
      <c r="B232" s="104"/>
      <c r="C232" s="104"/>
      <c r="D232" s="104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</row>
    <row r="233" ht="21.0" customHeight="1">
      <c r="A233" s="12"/>
      <c r="B233" s="104"/>
      <c r="C233" s="104"/>
      <c r="D233" s="104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</row>
    <row r="234" ht="21.0" customHeight="1">
      <c r="A234" s="12"/>
      <c r="B234" s="104"/>
      <c r="C234" s="104"/>
      <c r="D234" s="104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</row>
    <row r="235" ht="21.0" customHeight="1">
      <c r="A235" s="12"/>
      <c r="B235" s="104"/>
      <c r="C235" s="104"/>
      <c r="D235" s="104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</row>
    <row r="236" ht="21.0" customHeight="1">
      <c r="A236" s="12"/>
      <c r="B236" s="104"/>
      <c r="C236" s="104"/>
      <c r="D236" s="104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</row>
    <row r="237" ht="21.0" customHeight="1">
      <c r="A237" s="12"/>
      <c r="B237" s="104"/>
      <c r="C237" s="104"/>
      <c r="D237" s="104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</row>
    <row r="238" ht="21.0" customHeight="1">
      <c r="A238" s="12"/>
      <c r="B238" s="104"/>
      <c r="C238" s="104"/>
      <c r="D238" s="104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</row>
    <row r="239" ht="21.0" customHeight="1">
      <c r="A239" s="12"/>
      <c r="B239" s="104"/>
      <c r="C239" s="104"/>
      <c r="D239" s="104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</row>
    <row r="240" ht="21.0" customHeight="1">
      <c r="A240" s="12"/>
      <c r="B240" s="104"/>
      <c r="C240" s="104"/>
      <c r="D240" s="104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</row>
    <row r="241" ht="21.0" customHeight="1">
      <c r="A241" s="12"/>
      <c r="B241" s="104"/>
      <c r="C241" s="104"/>
      <c r="D241" s="104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</row>
    <row r="242" ht="21.0" customHeight="1">
      <c r="A242" s="12"/>
      <c r="B242" s="104"/>
      <c r="C242" s="104"/>
      <c r="D242" s="104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</row>
    <row r="243" ht="21.0" customHeight="1">
      <c r="A243" s="12"/>
      <c r="B243" s="104"/>
      <c r="C243" s="104"/>
      <c r="D243" s="104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</row>
    <row r="244" ht="21.0" customHeight="1">
      <c r="A244" s="12"/>
      <c r="B244" s="104"/>
      <c r="C244" s="104"/>
      <c r="D244" s="104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</row>
    <row r="245" ht="21.0" customHeight="1">
      <c r="A245" s="12"/>
      <c r="B245" s="104"/>
      <c r="C245" s="104"/>
      <c r="D245" s="104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</row>
    <row r="246" ht="21.0" customHeight="1">
      <c r="A246" s="12"/>
      <c r="B246" s="104"/>
      <c r="C246" s="104"/>
      <c r="D246" s="104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</row>
    <row r="247" ht="21.0" customHeight="1">
      <c r="A247" s="12"/>
      <c r="B247" s="104"/>
      <c r="C247" s="104"/>
      <c r="D247" s="104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</row>
    <row r="248" ht="21.0" customHeight="1">
      <c r="A248" s="12"/>
      <c r="B248" s="103"/>
      <c r="C248" s="103"/>
      <c r="D248" s="104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</row>
    <row r="249" ht="21.0" customHeight="1">
      <c r="A249" s="12"/>
      <c r="B249" s="104"/>
      <c r="C249" s="104"/>
      <c r="D249" s="104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</row>
    <row r="250" ht="21.0" customHeight="1">
      <c r="A250" s="12"/>
      <c r="B250" s="104"/>
      <c r="C250" s="104"/>
      <c r="D250" s="104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</row>
    <row r="251" ht="21.0" customHeight="1">
      <c r="A251" s="12"/>
      <c r="B251" s="104"/>
      <c r="C251" s="104"/>
      <c r="D251" s="104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</row>
    <row r="252" ht="21.0" customHeight="1">
      <c r="A252" s="12"/>
      <c r="B252" s="104"/>
      <c r="C252" s="104"/>
      <c r="D252" s="104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40"/>
    </row>
    <row r="253" ht="21.0" customHeight="1">
      <c r="A253" s="12"/>
      <c r="B253" s="104"/>
      <c r="C253" s="104"/>
      <c r="D253" s="104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</row>
    <row r="254" ht="21.0" customHeight="1">
      <c r="A254" s="12"/>
      <c r="B254" s="104"/>
      <c r="C254" s="104"/>
      <c r="D254" s="104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</row>
    <row r="255" ht="21.0" customHeight="1">
      <c r="A255" s="12"/>
      <c r="B255" s="104"/>
      <c r="C255" s="104"/>
      <c r="D255" s="104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</row>
    <row r="256" ht="21.0" customHeight="1">
      <c r="A256" s="12"/>
      <c r="B256" s="104"/>
      <c r="C256" s="104"/>
      <c r="D256" s="104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  <c r="BW256" s="40"/>
      <c r="BX256" s="40"/>
      <c r="BY256" s="40"/>
      <c r="BZ256" s="40"/>
      <c r="CA256" s="40"/>
      <c r="CB256" s="40"/>
      <c r="CC256" s="40"/>
    </row>
    <row r="257" ht="21.0" customHeight="1">
      <c r="A257" s="12"/>
      <c r="B257" s="104"/>
      <c r="C257" s="104"/>
      <c r="D257" s="104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</row>
    <row r="258" ht="21.0" customHeight="1">
      <c r="A258" s="12"/>
      <c r="B258" s="104"/>
      <c r="C258" s="104"/>
      <c r="D258" s="104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  <c r="BW258" s="40"/>
      <c r="BX258" s="40"/>
      <c r="BY258" s="40"/>
      <c r="BZ258" s="40"/>
      <c r="CA258" s="40"/>
      <c r="CB258" s="40"/>
      <c r="CC258" s="40"/>
    </row>
    <row r="259" ht="21.0" customHeight="1">
      <c r="A259" s="12"/>
      <c r="B259" s="104"/>
      <c r="C259" s="104"/>
      <c r="D259" s="104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</row>
    <row r="260" ht="21.0" customHeight="1">
      <c r="A260" s="12"/>
      <c r="B260" s="104"/>
      <c r="C260" s="104"/>
      <c r="D260" s="104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</row>
    <row r="261" ht="21.0" customHeight="1">
      <c r="A261" s="12"/>
      <c r="B261" s="104"/>
      <c r="C261" s="104"/>
      <c r="D261" s="104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</row>
    <row r="262" ht="21.0" customHeight="1">
      <c r="A262" s="12"/>
      <c r="B262" s="104"/>
      <c r="C262" s="104"/>
      <c r="D262" s="104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  <c r="BW262" s="40"/>
      <c r="BX262" s="40"/>
      <c r="BY262" s="40"/>
      <c r="BZ262" s="40"/>
      <c r="CA262" s="40"/>
      <c r="CB262" s="40"/>
      <c r="CC262" s="40"/>
    </row>
    <row r="263" ht="21.0" customHeight="1">
      <c r="A263" s="12"/>
      <c r="B263" s="104"/>
      <c r="C263" s="104"/>
      <c r="D263" s="104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</row>
    <row r="264" ht="21.0" customHeight="1">
      <c r="A264" s="12"/>
      <c r="B264" s="104"/>
      <c r="C264" s="104"/>
      <c r="D264" s="104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</row>
    <row r="265" ht="21.0" customHeight="1">
      <c r="A265" s="12"/>
      <c r="B265" s="104"/>
      <c r="C265" s="104"/>
      <c r="D265" s="104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</row>
    <row r="266" ht="21.0" customHeight="1">
      <c r="A266" s="12"/>
      <c r="B266" s="104"/>
      <c r="C266" s="104"/>
      <c r="D266" s="104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</row>
    <row r="267" ht="21.0" customHeight="1">
      <c r="A267" s="12"/>
      <c r="B267" s="103"/>
      <c r="C267" s="103"/>
      <c r="D267" s="104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  <c r="BW267" s="40"/>
      <c r="BX267" s="40"/>
      <c r="BY267" s="40"/>
      <c r="BZ267" s="40"/>
      <c r="CA267" s="40"/>
      <c r="CB267" s="40"/>
      <c r="CC267" s="40"/>
    </row>
    <row r="268" ht="21.0" customHeight="1">
      <c r="A268" s="12"/>
      <c r="B268" s="104"/>
      <c r="C268" s="104"/>
      <c r="D268" s="104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  <c r="BW268" s="40"/>
      <c r="BX268" s="40"/>
      <c r="BY268" s="40"/>
      <c r="BZ268" s="40"/>
      <c r="CA268" s="40"/>
      <c r="CB268" s="40"/>
      <c r="CC268" s="40"/>
    </row>
    <row r="269" ht="21.0" customHeight="1">
      <c r="A269" s="12"/>
      <c r="B269" s="104"/>
      <c r="C269" s="104"/>
      <c r="D269" s="104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</row>
    <row r="270" ht="21.0" customHeight="1">
      <c r="A270" s="12"/>
      <c r="B270" s="104"/>
      <c r="C270" s="104"/>
      <c r="D270" s="104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</row>
    <row r="271" ht="21.0" customHeight="1">
      <c r="A271" s="12"/>
      <c r="B271" s="104"/>
      <c r="C271" s="104"/>
      <c r="D271" s="104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</row>
    <row r="272" ht="21.0" customHeight="1">
      <c r="A272" s="12"/>
      <c r="B272" s="114"/>
      <c r="C272" s="114"/>
      <c r="D272" s="104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</row>
    <row r="273" ht="21.0" customHeight="1">
      <c r="A273" s="12"/>
      <c r="B273" s="103"/>
      <c r="C273" s="103"/>
      <c r="D273" s="104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</row>
    <row r="274" ht="21.0" customHeight="1">
      <c r="A274" s="12"/>
      <c r="B274" s="104"/>
      <c r="C274" s="104"/>
      <c r="D274" s="104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</row>
    <row r="275" ht="21.0" customHeight="1">
      <c r="A275" s="12"/>
      <c r="B275" s="104"/>
      <c r="C275" s="104"/>
      <c r="D275" s="104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</row>
    <row r="276" ht="21.0" customHeight="1">
      <c r="A276" s="12"/>
      <c r="B276" s="104"/>
      <c r="C276" s="104"/>
      <c r="D276" s="104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  <c r="BX276" s="40"/>
      <c r="BY276" s="40"/>
      <c r="BZ276" s="40"/>
      <c r="CA276" s="40"/>
      <c r="CB276" s="40"/>
      <c r="CC276" s="40"/>
    </row>
    <row r="277" ht="21.0" customHeight="1">
      <c r="A277" s="12"/>
      <c r="B277" s="104"/>
      <c r="C277" s="104"/>
      <c r="D277" s="104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  <c r="BX277" s="40"/>
      <c r="BY277" s="40"/>
      <c r="BZ277" s="40"/>
      <c r="CA277" s="40"/>
      <c r="CB277" s="40"/>
      <c r="CC277" s="40"/>
    </row>
    <row r="278" ht="21.0" customHeight="1">
      <c r="A278" s="12"/>
      <c r="B278" s="104"/>
      <c r="C278" s="104"/>
      <c r="D278" s="104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</row>
    <row r="279" ht="21.0" customHeight="1">
      <c r="A279" s="12"/>
      <c r="B279" s="104"/>
      <c r="C279" s="104"/>
      <c r="D279" s="104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</row>
    <row r="280" ht="21.0" customHeight="1">
      <c r="A280" s="12"/>
      <c r="B280" s="104"/>
      <c r="C280" s="104"/>
      <c r="D280" s="104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</row>
    <row r="281" ht="21.0" customHeight="1">
      <c r="A281" s="12"/>
      <c r="B281" s="104"/>
      <c r="C281" s="104"/>
      <c r="D281" s="104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</row>
    <row r="282" ht="21.0" customHeight="1">
      <c r="A282" s="12"/>
      <c r="B282" s="104"/>
      <c r="C282" s="104"/>
      <c r="D282" s="104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</row>
    <row r="283" ht="21.0" customHeight="1">
      <c r="A283" s="12"/>
      <c r="B283" s="104"/>
      <c r="C283" s="104"/>
      <c r="D283" s="104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</row>
    <row r="284" ht="21.0" customHeight="1">
      <c r="A284" s="12"/>
      <c r="B284" s="103"/>
      <c r="C284" s="103"/>
      <c r="D284" s="104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</row>
    <row r="285" ht="21.0" customHeight="1">
      <c r="A285" s="12"/>
      <c r="B285" s="104"/>
      <c r="C285" s="104"/>
      <c r="D285" s="104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</row>
    <row r="286" ht="21.0" customHeight="1">
      <c r="A286" s="12"/>
      <c r="B286" s="104"/>
      <c r="C286" s="104"/>
      <c r="D286" s="104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</row>
    <row r="287" ht="21.0" customHeight="1">
      <c r="A287" s="12"/>
      <c r="B287" s="104"/>
      <c r="C287" s="104"/>
      <c r="D287" s="104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</row>
    <row r="288" ht="21.0" customHeight="1">
      <c r="A288" s="12"/>
      <c r="B288" s="104"/>
      <c r="C288" s="104"/>
      <c r="D288" s="104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</row>
    <row r="289" ht="21.0" customHeight="1">
      <c r="A289" s="12"/>
      <c r="B289" s="104"/>
      <c r="C289" s="104"/>
      <c r="D289" s="104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</row>
    <row r="290" ht="21.0" customHeight="1">
      <c r="A290" s="12"/>
      <c r="B290" s="104"/>
      <c r="C290" s="104"/>
      <c r="D290" s="104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</row>
    <row r="291" ht="21.0" customHeight="1">
      <c r="A291" s="12"/>
      <c r="B291" s="104"/>
      <c r="C291" s="104"/>
      <c r="D291" s="103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</row>
    <row r="292" ht="21.0" customHeight="1">
      <c r="A292" s="12"/>
      <c r="B292" s="104"/>
      <c r="C292" s="104"/>
      <c r="D292" s="103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</row>
    <row r="293" ht="21.0" customHeight="1">
      <c r="A293" s="12"/>
      <c r="B293" s="104"/>
      <c r="C293" s="104"/>
      <c r="D293" s="103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</row>
    <row r="294" ht="21.0" customHeight="1">
      <c r="A294" s="12"/>
      <c r="B294" s="104"/>
      <c r="C294" s="104"/>
      <c r="D294" s="103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</row>
    <row r="295" ht="21.0" customHeight="1">
      <c r="A295" s="12"/>
      <c r="B295" s="104"/>
      <c r="C295" s="104"/>
      <c r="D295" s="104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</row>
    <row r="296" ht="21.0" customHeight="1">
      <c r="A296" s="12"/>
      <c r="B296" s="104"/>
      <c r="C296" s="104"/>
      <c r="D296" s="104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</row>
    <row r="297" ht="21.0" customHeight="1">
      <c r="A297" s="12"/>
      <c r="B297" s="103"/>
      <c r="C297" s="103"/>
      <c r="D297" s="104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</row>
    <row r="298" ht="21.0" customHeight="1">
      <c r="A298" s="12"/>
      <c r="B298" s="104"/>
      <c r="C298" s="104"/>
      <c r="D298" s="104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</row>
    <row r="299" ht="21.0" customHeight="1">
      <c r="A299" s="12"/>
      <c r="B299" s="104"/>
      <c r="C299" s="104"/>
      <c r="D299" s="104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</row>
    <row r="300" ht="21.0" customHeight="1">
      <c r="A300" s="12"/>
      <c r="B300" s="104"/>
      <c r="C300" s="104"/>
      <c r="D300" s="104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</row>
    <row r="301" ht="21.0" customHeight="1">
      <c r="A301" s="12"/>
      <c r="B301" s="104"/>
      <c r="C301" s="104"/>
      <c r="D301" s="104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</row>
    <row r="302" ht="21.0" customHeight="1">
      <c r="A302" s="12"/>
      <c r="B302" s="104"/>
      <c r="C302" s="104"/>
      <c r="D302" s="104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</row>
    <row r="303" ht="21.0" customHeight="1">
      <c r="A303" s="12"/>
      <c r="B303" s="103"/>
      <c r="C303" s="103"/>
      <c r="D303" s="104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</row>
    <row r="304" ht="21.0" customHeight="1">
      <c r="A304" s="12"/>
      <c r="B304" s="104"/>
      <c r="C304" s="104"/>
      <c r="D304" s="104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</row>
    <row r="305" ht="21.0" customHeight="1">
      <c r="A305" s="12"/>
      <c r="B305" s="104"/>
      <c r="C305" s="104"/>
      <c r="D305" s="104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</row>
    <row r="306" ht="21.0" customHeight="1">
      <c r="A306" s="12"/>
      <c r="B306" s="103"/>
      <c r="C306" s="103"/>
      <c r="D306" s="104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</row>
    <row r="307" ht="21.0" customHeight="1">
      <c r="A307" s="12"/>
      <c r="B307" s="104"/>
      <c r="C307" s="104"/>
      <c r="D307" s="104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</row>
    <row r="308" ht="21.0" customHeight="1">
      <c r="A308" s="12"/>
      <c r="B308" s="104"/>
      <c r="C308" s="104"/>
      <c r="D308" s="104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</row>
    <row r="309" ht="21.0" customHeight="1">
      <c r="A309" s="12"/>
      <c r="B309" s="104"/>
      <c r="C309" s="104"/>
      <c r="D309" s="104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</row>
    <row r="310" ht="21.0" customHeight="1">
      <c r="A310" s="12"/>
      <c r="B310" s="103"/>
      <c r="C310" s="103"/>
      <c r="D310" s="104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</row>
    <row r="311" ht="21.0" customHeight="1">
      <c r="A311" s="12"/>
      <c r="B311" s="104"/>
      <c r="C311" s="104"/>
      <c r="D311" s="104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</row>
    <row r="312" ht="21.0" customHeight="1">
      <c r="A312" s="12"/>
      <c r="B312" s="104"/>
      <c r="C312" s="104"/>
      <c r="D312" s="104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</row>
    <row r="313" ht="21.0" customHeight="1">
      <c r="A313" s="12"/>
      <c r="B313" s="104"/>
      <c r="C313" s="104"/>
      <c r="D313" s="104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</row>
    <row r="314" ht="21.0" customHeight="1">
      <c r="A314" s="12"/>
      <c r="B314" s="103"/>
      <c r="C314" s="103"/>
      <c r="D314" s="104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</row>
    <row r="315" ht="21.0" customHeight="1">
      <c r="A315" s="12"/>
      <c r="B315" s="104"/>
      <c r="C315" s="104"/>
      <c r="D315" s="104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</row>
    <row r="316" ht="21.0" customHeight="1">
      <c r="A316" s="12"/>
      <c r="B316" s="104"/>
      <c r="C316" s="104"/>
      <c r="D316" s="104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</row>
    <row r="317" ht="21.0" customHeight="1">
      <c r="A317" s="12"/>
      <c r="B317" s="104"/>
      <c r="C317" s="104"/>
      <c r="D317" s="104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</row>
    <row r="318" ht="21.0" customHeight="1">
      <c r="A318" s="12"/>
      <c r="B318" s="104"/>
      <c r="C318" s="104"/>
      <c r="D318" s="104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</row>
    <row r="319" ht="21.0" customHeight="1">
      <c r="A319" s="12"/>
      <c r="B319" s="104"/>
      <c r="C319" s="104"/>
      <c r="D319" s="104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</row>
    <row r="320" ht="21.0" customHeight="1">
      <c r="A320" s="12"/>
      <c r="B320" s="104"/>
      <c r="C320" s="104"/>
      <c r="D320" s="104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</row>
    <row r="321" ht="21.0" customHeight="1">
      <c r="A321" s="12"/>
      <c r="B321" s="104"/>
      <c r="C321" s="104"/>
      <c r="D321" s="104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</row>
    <row r="322" ht="21.0" customHeight="1">
      <c r="A322" s="12"/>
      <c r="B322" s="104"/>
      <c r="C322" s="104"/>
      <c r="D322" s="104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</row>
    <row r="323" ht="21.0" customHeight="1">
      <c r="A323" s="12"/>
      <c r="B323" s="104"/>
      <c r="C323" s="104"/>
      <c r="D323" s="104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</row>
    <row r="324" ht="21.0" customHeight="1">
      <c r="A324" s="12"/>
      <c r="B324" s="104"/>
      <c r="C324" s="104"/>
      <c r="D324" s="104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</row>
    <row r="325" ht="21.0" customHeight="1">
      <c r="A325" s="12"/>
      <c r="B325" s="104"/>
      <c r="C325" s="104"/>
      <c r="D325" s="104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</row>
    <row r="326" ht="21.0" customHeight="1">
      <c r="A326" s="12"/>
      <c r="B326" s="104"/>
      <c r="C326" s="104"/>
      <c r="D326" s="104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</row>
    <row r="327" ht="21.0" customHeight="1">
      <c r="A327" s="12"/>
      <c r="B327" s="104"/>
      <c r="C327" s="104"/>
      <c r="D327" s="104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</row>
    <row r="328" ht="21.0" customHeight="1">
      <c r="A328" s="12"/>
      <c r="B328" s="104"/>
      <c r="C328" s="104"/>
      <c r="D328" s="104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</row>
    <row r="329" ht="21.0" customHeight="1">
      <c r="A329" s="12"/>
      <c r="B329" s="104"/>
      <c r="C329" s="104"/>
      <c r="D329" s="104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</row>
    <row r="330" ht="21.0" customHeight="1">
      <c r="A330" s="12"/>
      <c r="B330" s="104"/>
      <c r="C330" s="104"/>
      <c r="D330" s="104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</row>
    <row r="331" ht="21.0" customHeight="1">
      <c r="A331" s="12"/>
      <c r="B331" s="104"/>
      <c r="C331" s="104"/>
      <c r="D331" s="104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</row>
    <row r="332" ht="21.0" customHeight="1">
      <c r="A332" s="12"/>
      <c r="B332" s="104"/>
      <c r="C332" s="104"/>
      <c r="D332" s="104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</row>
    <row r="333" ht="21.0" customHeight="1">
      <c r="A333" s="12"/>
      <c r="B333" s="104"/>
      <c r="C333" s="104"/>
      <c r="D333" s="104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</row>
    <row r="334" ht="21.0" customHeight="1">
      <c r="A334" s="12"/>
      <c r="B334" s="104"/>
      <c r="C334" s="104"/>
      <c r="D334" s="104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</row>
    <row r="335" ht="21.0" customHeight="1">
      <c r="A335" s="12"/>
      <c r="B335" s="104"/>
      <c r="C335" s="104"/>
      <c r="D335" s="104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</row>
    <row r="336" ht="21.0" customHeight="1">
      <c r="A336" s="12"/>
      <c r="B336" s="104"/>
      <c r="C336" s="104"/>
      <c r="D336" s="104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</row>
    <row r="337" ht="21.0" customHeight="1">
      <c r="A337" s="12"/>
      <c r="B337" s="104"/>
      <c r="C337" s="104"/>
      <c r="D337" s="104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</row>
    <row r="338" ht="21.0" customHeight="1">
      <c r="A338" s="12"/>
      <c r="B338" s="104"/>
      <c r="C338" s="104"/>
      <c r="D338" s="104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</row>
    <row r="339" ht="21.0" customHeight="1">
      <c r="A339" s="12"/>
      <c r="B339" s="104"/>
      <c r="C339" s="104"/>
      <c r="D339" s="104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</row>
    <row r="340" ht="21.0" customHeight="1">
      <c r="A340" s="12"/>
      <c r="B340" s="104"/>
      <c r="C340" s="104"/>
      <c r="D340" s="104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</row>
    <row r="341" ht="21.0" customHeight="1">
      <c r="A341" s="12"/>
      <c r="B341" s="104"/>
      <c r="C341" s="104"/>
      <c r="D341" s="104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</row>
    <row r="342" ht="21.0" customHeight="1">
      <c r="A342" s="12"/>
      <c r="B342" s="104"/>
      <c r="C342" s="104"/>
      <c r="D342" s="104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</row>
    <row r="343" ht="21.0" customHeight="1">
      <c r="A343" s="12"/>
      <c r="B343" s="104"/>
      <c r="C343" s="104"/>
      <c r="D343" s="104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</row>
    <row r="344" ht="21.0" customHeight="1">
      <c r="A344" s="12"/>
      <c r="B344" s="104"/>
      <c r="C344" s="104"/>
      <c r="D344" s="104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</row>
    <row r="345" ht="21.0" customHeight="1">
      <c r="A345" s="12"/>
      <c r="B345" s="104"/>
      <c r="C345" s="104"/>
      <c r="D345" s="104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</row>
    <row r="346" ht="21.0" customHeight="1">
      <c r="A346" s="12"/>
      <c r="B346" s="104"/>
      <c r="C346" s="104"/>
      <c r="D346" s="104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</row>
    <row r="347" ht="21.0" customHeight="1">
      <c r="A347" s="12"/>
      <c r="B347" s="104"/>
      <c r="C347" s="104"/>
      <c r="D347" s="104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</row>
    <row r="348" ht="21.0" customHeight="1">
      <c r="A348" s="12"/>
      <c r="B348" s="104"/>
      <c r="C348" s="104"/>
      <c r="D348" s="104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</row>
    <row r="349" ht="21.0" customHeight="1">
      <c r="A349" s="12"/>
      <c r="B349" s="104"/>
      <c r="C349" s="104"/>
      <c r="D349" s="104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</row>
    <row r="350" ht="21.0" customHeight="1">
      <c r="A350" s="12"/>
      <c r="B350" s="104"/>
      <c r="C350" s="104"/>
      <c r="D350" s="104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</row>
    <row r="351" ht="21.0" customHeight="1">
      <c r="A351" s="12"/>
      <c r="B351" s="104"/>
      <c r="C351" s="104"/>
      <c r="D351" s="104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</row>
    <row r="352" ht="21.0" customHeight="1">
      <c r="A352" s="12"/>
      <c r="B352" s="104"/>
      <c r="C352" s="104"/>
      <c r="D352" s="104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</row>
    <row r="353" ht="21.0" customHeight="1">
      <c r="A353" s="12"/>
      <c r="B353" s="104"/>
      <c r="C353" s="104"/>
      <c r="D353" s="104"/>
      <c r="E353" s="37"/>
      <c r="F353" s="37" t="s">
        <v>787</v>
      </c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</row>
    <row r="354" ht="21.0" customHeight="1">
      <c r="A354" s="12"/>
      <c r="B354" s="104"/>
      <c r="C354" s="104"/>
      <c r="D354" s="104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</row>
    <row r="355" ht="21.0" customHeight="1">
      <c r="A355" s="12"/>
      <c r="B355" s="104"/>
      <c r="C355" s="104"/>
      <c r="D355" s="104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</row>
    <row r="356" ht="21.0" customHeight="1">
      <c r="A356" s="12"/>
      <c r="B356" s="104"/>
      <c r="C356" s="104"/>
      <c r="D356" s="104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</row>
    <row r="357" ht="21.0" customHeight="1">
      <c r="A357" s="12"/>
      <c r="B357" s="104"/>
      <c r="C357" s="104"/>
      <c r="D357" s="104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</row>
    <row r="358" ht="21.0" customHeight="1">
      <c r="A358" s="12"/>
      <c r="B358" s="104"/>
      <c r="C358" s="104"/>
      <c r="D358" s="104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</row>
    <row r="359" ht="21.0" customHeight="1">
      <c r="A359" s="12"/>
      <c r="B359" s="104"/>
      <c r="C359" s="104"/>
      <c r="D359" s="104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  <c r="BW359" s="40"/>
      <c r="BX359" s="40"/>
      <c r="BY359" s="40"/>
      <c r="BZ359" s="40"/>
      <c r="CA359" s="40"/>
      <c r="CB359" s="40"/>
      <c r="CC359" s="40"/>
    </row>
    <row r="360" ht="21.0" customHeight="1">
      <c r="A360" s="12"/>
      <c r="B360" s="104"/>
      <c r="C360" s="104"/>
      <c r="D360" s="104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</row>
    <row r="361" ht="21.0" customHeight="1">
      <c r="A361" s="12"/>
      <c r="B361" s="103"/>
      <c r="C361" s="103"/>
      <c r="D361" s="103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</row>
    <row r="362" ht="21.0" customHeight="1">
      <c r="A362" s="12"/>
      <c r="B362" s="104"/>
      <c r="C362" s="104"/>
      <c r="D362" s="104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</row>
    <row r="363" ht="21.0" customHeight="1">
      <c r="A363" s="12"/>
      <c r="B363" s="104"/>
      <c r="C363" s="104"/>
      <c r="D363" s="104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</row>
    <row r="364" ht="21.0" customHeight="1">
      <c r="A364" s="12"/>
      <c r="B364" s="104"/>
      <c r="C364" s="104"/>
      <c r="D364" s="104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  <c r="BW364" s="40"/>
      <c r="BX364" s="40"/>
      <c r="BY364" s="40"/>
      <c r="BZ364" s="40"/>
      <c r="CA364" s="40"/>
      <c r="CB364" s="40"/>
      <c r="CC364" s="40"/>
    </row>
    <row r="365" ht="21.0" customHeight="1">
      <c r="A365" s="12"/>
      <c r="B365" s="104"/>
      <c r="C365" s="104"/>
      <c r="D365" s="104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</row>
    <row r="366" ht="21.0" customHeight="1">
      <c r="A366" s="12"/>
      <c r="B366" s="104"/>
      <c r="C366" s="104"/>
      <c r="D366" s="103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</row>
    <row r="367" ht="21.0" customHeight="1">
      <c r="A367" s="12"/>
      <c r="B367" s="104"/>
      <c r="C367" s="104"/>
      <c r="D367" s="104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</row>
    <row r="368" ht="21.0" customHeight="1">
      <c r="A368" s="12"/>
      <c r="B368" s="104"/>
      <c r="C368" s="104"/>
      <c r="D368" s="104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</row>
    <row r="369" ht="21.0" customHeight="1">
      <c r="A369" s="12"/>
      <c r="B369" s="104"/>
      <c r="C369" s="104"/>
      <c r="D369" s="104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</row>
    <row r="370" ht="21.0" customHeight="1">
      <c r="A370" s="12"/>
      <c r="B370" s="104"/>
      <c r="C370" s="104"/>
      <c r="D370" s="104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</row>
    <row r="371" ht="21.0" customHeight="1">
      <c r="A371" s="12"/>
      <c r="B371" s="104"/>
      <c r="C371" s="104"/>
      <c r="D371" s="104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  <c r="BW371" s="40"/>
      <c r="BX371" s="40"/>
      <c r="BY371" s="40"/>
      <c r="BZ371" s="40"/>
      <c r="CA371" s="40"/>
      <c r="CB371" s="40"/>
      <c r="CC371" s="40"/>
    </row>
    <row r="372" ht="21.0" customHeight="1">
      <c r="A372" s="12"/>
      <c r="B372" s="104"/>
      <c r="C372" s="104"/>
      <c r="D372" s="104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  <c r="BX372" s="40"/>
      <c r="BY372" s="40"/>
      <c r="BZ372" s="40"/>
      <c r="CA372" s="40"/>
      <c r="CB372" s="40"/>
      <c r="CC372" s="40"/>
    </row>
    <row r="373" ht="21.0" customHeight="1">
      <c r="A373" s="12"/>
      <c r="B373" s="104"/>
      <c r="C373" s="104"/>
      <c r="D373" s="104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  <c r="BW373" s="40"/>
      <c r="BX373" s="40"/>
      <c r="BY373" s="40"/>
      <c r="BZ373" s="40"/>
      <c r="CA373" s="40"/>
      <c r="CB373" s="40"/>
      <c r="CC373" s="40"/>
    </row>
    <row r="374" ht="21.0" customHeight="1">
      <c r="A374" s="12"/>
      <c r="B374" s="103"/>
      <c r="C374" s="103"/>
      <c r="D374" s="104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  <c r="BX374" s="40"/>
      <c r="BY374" s="40"/>
      <c r="BZ374" s="40"/>
      <c r="CA374" s="40"/>
      <c r="CB374" s="40"/>
      <c r="CC374" s="40"/>
    </row>
    <row r="375" ht="21.0" customHeight="1">
      <c r="A375" s="12"/>
      <c r="B375" s="104"/>
      <c r="C375" s="104"/>
      <c r="D375" s="104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  <c r="BX375" s="40"/>
      <c r="BY375" s="40"/>
      <c r="BZ375" s="40"/>
      <c r="CA375" s="40"/>
      <c r="CB375" s="40"/>
      <c r="CC375" s="40"/>
    </row>
    <row r="376" ht="21.0" customHeight="1">
      <c r="A376" s="12"/>
      <c r="B376" s="104"/>
      <c r="C376" s="104"/>
      <c r="D376" s="104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  <c r="BW376" s="40"/>
      <c r="BX376" s="40"/>
      <c r="BY376" s="40"/>
      <c r="BZ376" s="40"/>
      <c r="CA376" s="40"/>
      <c r="CB376" s="40"/>
      <c r="CC376" s="40"/>
    </row>
    <row r="377" ht="21.0" customHeight="1">
      <c r="A377" s="12"/>
      <c r="B377" s="104"/>
      <c r="C377" s="104"/>
      <c r="D377" s="104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  <c r="BW377" s="40"/>
      <c r="BX377" s="40"/>
      <c r="BY377" s="40"/>
      <c r="BZ377" s="40"/>
      <c r="CA377" s="40"/>
      <c r="CB377" s="40"/>
      <c r="CC377" s="40"/>
    </row>
    <row r="378" ht="21.0" customHeight="1">
      <c r="A378" s="12"/>
      <c r="B378" s="104"/>
      <c r="C378" s="104"/>
      <c r="D378" s="108"/>
    </row>
    <row r="379" ht="21.0" customHeight="1">
      <c r="A379" s="12"/>
      <c r="B379" s="104"/>
      <c r="C379" s="104"/>
      <c r="D379" s="104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</row>
    <row r="380" ht="21.0" customHeight="1">
      <c r="A380" s="12"/>
      <c r="B380" s="104"/>
      <c r="C380" s="104"/>
      <c r="D380" s="104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</row>
    <row r="381" ht="21.0" customHeight="1">
      <c r="A381" s="12"/>
      <c r="B381" s="104"/>
      <c r="C381" s="104"/>
      <c r="D381" s="104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</row>
    <row r="382" ht="21.0" customHeight="1">
      <c r="A382" s="12"/>
      <c r="B382" s="104"/>
      <c r="C382" s="104"/>
      <c r="D382" s="104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</row>
    <row r="383" ht="21.0" customHeight="1">
      <c r="A383" s="12"/>
      <c r="B383" s="104"/>
      <c r="C383" s="104"/>
      <c r="D383" s="104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</row>
    <row r="384" ht="21.0" customHeight="1">
      <c r="A384" s="12"/>
      <c r="B384" s="104"/>
      <c r="C384" s="104"/>
      <c r="D384" s="104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</row>
    <row r="385" ht="21.0" customHeight="1">
      <c r="A385" s="12"/>
      <c r="B385" s="104"/>
      <c r="C385" s="104"/>
      <c r="D385" s="104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</row>
    <row r="386" ht="21.0" customHeight="1">
      <c r="A386" s="12"/>
      <c r="B386" s="104"/>
      <c r="C386" s="104"/>
      <c r="D386" s="104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</row>
    <row r="387" ht="21.0" customHeight="1">
      <c r="A387" s="12"/>
      <c r="B387" s="103"/>
      <c r="C387" s="103"/>
      <c r="D387" s="103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</row>
    <row r="388" ht="21.0" customHeight="1">
      <c r="A388" s="12"/>
      <c r="B388" s="104"/>
      <c r="C388" s="104"/>
      <c r="D388" s="104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</row>
    <row r="389" ht="21.0" customHeight="1">
      <c r="A389" s="12"/>
      <c r="B389" s="104"/>
      <c r="C389" s="104"/>
      <c r="D389" s="104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</row>
    <row r="390" ht="21.0" customHeight="1">
      <c r="A390" s="12"/>
      <c r="B390" s="104"/>
      <c r="C390" s="104"/>
      <c r="D390" s="104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</row>
    <row r="391" ht="21.0" customHeight="1">
      <c r="A391" s="12"/>
      <c r="B391" s="103"/>
      <c r="C391" s="103"/>
      <c r="D391" s="104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</row>
    <row r="392" ht="21.0" customHeight="1">
      <c r="A392" s="12"/>
      <c r="B392" s="104"/>
      <c r="C392" s="104"/>
      <c r="D392" s="104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</row>
    <row r="393" ht="21.0" customHeight="1">
      <c r="A393" s="12"/>
      <c r="B393" s="104"/>
      <c r="C393" s="104"/>
      <c r="D393" s="103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</row>
    <row r="394" ht="21.0" customHeight="1">
      <c r="A394" s="12"/>
      <c r="B394" s="104"/>
      <c r="C394" s="104"/>
      <c r="D394" s="103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</row>
    <row r="395" ht="21.0" customHeight="1">
      <c r="A395" s="12"/>
      <c r="B395" s="104"/>
      <c r="C395" s="104"/>
      <c r="D395" s="104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</row>
    <row r="396" ht="21.0" customHeight="1">
      <c r="A396" s="12"/>
      <c r="B396" s="104"/>
      <c r="C396" s="104"/>
      <c r="D396" s="104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</row>
    <row r="397" ht="21.0" customHeight="1">
      <c r="A397" s="12"/>
      <c r="B397" s="104"/>
      <c r="C397" s="104"/>
      <c r="D397" s="104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</row>
    <row r="398" ht="21.0" customHeight="1">
      <c r="A398" s="12"/>
      <c r="B398" s="104"/>
      <c r="C398" s="104"/>
      <c r="D398" s="103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</row>
    <row r="399" ht="21.0" customHeight="1">
      <c r="A399" s="12"/>
      <c r="B399" s="104"/>
      <c r="C399" s="104"/>
      <c r="D399" s="104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</row>
    <row r="400" ht="21.0" customHeight="1">
      <c r="A400" s="12"/>
      <c r="B400" s="104"/>
      <c r="C400" s="104"/>
      <c r="D400" s="104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</row>
    <row r="401" ht="21.0" customHeight="1">
      <c r="A401" s="12"/>
      <c r="B401" s="104"/>
      <c r="C401" s="104"/>
      <c r="D401" s="103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</row>
    <row r="402" ht="21.0" customHeight="1">
      <c r="A402" s="12"/>
      <c r="B402" s="104"/>
      <c r="C402" s="104"/>
      <c r="D402" s="104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</row>
    <row r="403" ht="21.0" customHeight="1">
      <c r="A403" s="12"/>
      <c r="B403" s="104"/>
      <c r="C403" s="104"/>
      <c r="D403" s="104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</row>
    <row r="404" ht="21.0" customHeight="1">
      <c r="A404" s="12"/>
      <c r="B404" s="104"/>
      <c r="C404" s="104"/>
      <c r="D404" s="104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</row>
    <row r="405" ht="21.0" customHeight="1">
      <c r="A405" s="12"/>
      <c r="B405" s="104"/>
      <c r="C405" s="104"/>
      <c r="D405" s="104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</row>
    <row r="406" ht="21.0" customHeight="1">
      <c r="A406" s="12"/>
      <c r="B406" s="104"/>
      <c r="C406" s="104"/>
      <c r="D406" s="104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</row>
    <row r="407" ht="21.0" customHeight="1">
      <c r="A407" s="12"/>
      <c r="B407" s="103"/>
      <c r="C407" s="103"/>
      <c r="D407" s="104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</row>
    <row r="408" ht="21.0" customHeight="1">
      <c r="A408" s="12"/>
      <c r="B408" s="104"/>
      <c r="C408" s="104"/>
      <c r="D408" s="104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</row>
    <row r="409" ht="21.0" customHeight="1">
      <c r="A409" s="12"/>
      <c r="B409" s="104"/>
      <c r="C409" s="104"/>
      <c r="D409" s="104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</row>
    <row r="410" ht="21.0" customHeight="1">
      <c r="A410" s="12"/>
      <c r="B410" s="103"/>
      <c r="C410" s="103"/>
      <c r="D410" s="104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</row>
    <row r="411" ht="21.0" customHeight="1">
      <c r="A411" s="12"/>
      <c r="B411" s="104"/>
      <c r="C411" s="104"/>
      <c r="D411" s="104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</row>
    <row r="412" ht="21.0" customHeight="1">
      <c r="A412" s="12"/>
      <c r="B412" s="104"/>
      <c r="C412" s="104"/>
      <c r="D412" s="104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</row>
    <row r="413" ht="21.0" customHeight="1">
      <c r="A413" s="12"/>
      <c r="B413" s="104"/>
      <c r="C413" s="104"/>
      <c r="D413" s="104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</row>
    <row r="414" ht="21.0" customHeight="1">
      <c r="A414" s="12"/>
      <c r="B414" s="104"/>
      <c r="C414" s="104"/>
      <c r="D414" s="104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</row>
    <row r="415" ht="21.0" customHeight="1">
      <c r="A415" s="12"/>
      <c r="B415" s="104"/>
      <c r="C415" s="104"/>
      <c r="D415" s="104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</row>
    <row r="416" ht="21.0" customHeight="1">
      <c r="A416" s="12"/>
      <c r="B416" s="104"/>
      <c r="C416" s="104"/>
      <c r="D416" s="104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</row>
    <row r="417" ht="21.0" customHeight="1">
      <c r="A417" s="12"/>
      <c r="B417" s="104"/>
      <c r="C417" s="104"/>
      <c r="D417" s="104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</row>
    <row r="418" ht="21.0" customHeight="1">
      <c r="A418" s="12"/>
      <c r="B418" s="104"/>
      <c r="C418" s="104"/>
      <c r="D418" s="104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</row>
    <row r="419" ht="21.0" customHeight="1">
      <c r="A419" s="12"/>
      <c r="B419" s="104"/>
      <c r="C419" s="104"/>
      <c r="D419" s="104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</row>
    <row r="420" ht="21.0" customHeight="1">
      <c r="A420" s="12"/>
      <c r="B420" s="104"/>
      <c r="C420" s="104"/>
      <c r="D420" s="104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</row>
    <row r="421" ht="21.0" customHeight="1">
      <c r="A421" s="12"/>
      <c r="B421" s="104"/>
      <c r="C421" s="104"/>
      <c r="D421" s="104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</row>
    <row r="422" ht="21.0" customHeight="1">
      <c r="A422" s="12"/>
      <c r="B422" s="104"/>
      <c r="C422" s="104"/>
      <c r="D422" s="104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</row>
    <row r="423" ht="21.0" customHeight="1">
      <c r="A423" s="12"/>
      <c r="B423" s="104"/>
      <c r="C423" s="104"/>
      <c r="D423" s="104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</row>
    <row r="424" ht="21.0" customHeight="1">
      <c r="A424" s="12"/>
      <c r="B424" s="104"/>
      <c r="C424" s="104"/>
      <c r="D424" s="104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</row>
    <row r="425" ht="21.0" customHeight="1">
      <c r="A425" s="12"/>
      <c r="B425" s="104"/>
      <c r="C425" s="104"/>
      <c r="D425" s="104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</row>
    <row r="426" ht="21.0" customHeight="1">
      <c r="A426" s="12"/>
      <c r="B426" s="104"/>
      <c r="C426" s="104"/>
      <c r="D426" s="104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</row>
    <row r="427" ht="21.0" customHeight="1">
      <c r="A427" s="12"/>
      <c r="B427" s="104"/>
      <c r="C427" s="104"/>
      <c r="D427" s="104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</row>
    <row r="428" ht="21.0" customHeight="1">
      <c r="A428" s="12"/>
      <c r="B428" s="104"/>
      <c r="C428" s="104"/>
      <c r="D428" s="104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</row>
    <row r="429" ht="21.0" customHeight="1">
      <c r="A429" s="12"/>
      <c r="B429" s="104"/>
      <c r="C429" s="104"/>
      <c r="D429" s="104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</row>
    <row r="430" ht="21.0" customHeight="1">
      <c r="A430" s="12"/>
      <c r="B430" s="103"/>
      <c r="C430" s="103"/>
      <c r="D430" s="104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</row>
    <row r="431" ht="21.0" customHeight="1">
      <c r="A431" s="12"/>
      <c r="B431" s="104"/>
      <c r="C431" s="104"/>
      <c r="D431" s="104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</row>
    <row r="432" ht="21.0" customHeight="1">
      <c r="A432" s="12"/>
      <c r="B432" s="104"/>
      <c r="C432" s="104"/>
      <c r="D432" s="104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</row>
    <row r="433" ht="21.0" customHeight="1">
      <c r="A433" s="12"/>
      <c r="B433" s="104"/>
      <c r="C433" s="104"/>
      <c r="D433" s="104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</row>
    <row r="434" ht="21.0" customHeight="1">
      <c r="A434" s="12"/>
      <c r="B434" s="104"/>
      <c r="C434" s="104"/>
      <c r="D434" s="104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</row>
    <row r="435" ht="21.0" customHeight="1">
      <c r="A435" s="12"/>
      <c r="B435" s="104"/>
      <c r="C435" s="104"/>
      <c r="D435" s="104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</row>
    <row r="436" ht="21.0" customHeight="1">
      <c r="A436" s="12"/>
      <c r="B436" s="104"/>
      <c r="C436" s="104"/>
      <c r="D436" s="104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</row>
    <row r="437" ht="21.0" customHeight="1">
      <c r="A437" s="12"/>
      <c r="B437" s="104"/>
      <c r="C437" s="104"/>
      <c r="D437" s="104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</row>
    <row r="438" ht="21.0" customHeight="1">
      <c r="A438" s="12"/>
      <c r="B438" s="104"/>
      <c r="C438" s="104"/>
      <c r="D438" s="104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</row>
    <row r="439" ht="21.0" customHeight="1">
      <c r="A439" s="12"/>
      <c r="B439" s="104"/>
      <c r="C439" s="104"/>
      <c r="D439" s="104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</row>
    <row r="440" ht="21.0" customHeight="1">
      <c r="A440" s="12"/>
      <c r="B440" s="104"/>
      <c r="C440" s="104"/>
      <c r="D440" s="104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</row>
    <row r="441" ht="21.0" customHeight="1">
      <c r="A441" s="12"/>
      <c r="B441" s="104"/>
      <c r="C441" s="104"/>
      <c r="D441" s="104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</row>
    <row r="442" ht="21.0" customHeight="1">
      <c r="A442" s="12"/>
      <c r="B442" s="104"/>
      <c r="C442" s="104"/>
      <c r="D442" s="104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</row>
    <row r="443" ht="21.0" customHeight="1">
      <c r="A443" s="12"/>
      <c r="B443" s="104"/>
      <c r="C443" s="104"/>
      <c r="D443" s="104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</row>
    <row r="444" ht="21.0" customHeight="1">
      <c r="A444" s="12"/>
      <c r="B444" s="104"/>
      <c r="C444" s="104"/>
      <c r="D444" s="104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</row>
    <row r="445" ht="21.0" customHeight="1">
      <c r="A445" s="12"/>
      <c r="B445" s="104"/>
      <c r="C445" s="104"/>
      <c r="D445" s="104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</row>
    <row r="446" ht="21.0" customHeight="1">
      <c r="A446" s="12"/>
      <c r="B446" s="104"/>
      <c r="C446" s="104"/>
      <c r="D446" s="104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</row>
    <row r="447" ht="21.0" customHeight="1">
      <c r="A447" s="12"/>
      <c r="B447" s="104"/>
      <c r="C447" s="104"/>
      <c r="D447" s="104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</row>
    <row r="448" ht="21.0" customHeight="1">
      <c r="A448" s="12"/>
      <c r="B448" s="103"/>
      <c r="C448" s="103"/>
      <c r="D448" s="103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</row>
    <row r="449" ht="21.0" customHeight="1">
      <c r="A449" s="12"/>
      <c r="B449" s="104"/>
      <c r="C449" s="104"/>
      <c r="D449" s="103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</row>
    <row r="450" ht="21.0" customHeight="1">
      <c r="A450" s="12"/>
      <c r="B450" s="104"/>
      <c r="C450" s="104"/>
      <c r="D450" s="103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</row>
    <row r="451" ht="21.0" customHeight="1">
      <c r="A451" s="12"/>
      <c r="B451" s="103"/>
      <c r="C451" s="103"/>
      <c r="D451" s="104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</row>
    <row r="452" ht="21.0" customHeight="1">
      <c r="A452" s="12"/>
      <c r="B452" s="104"/>
      <c r="C452" s="104"/>
      <c r="D452" s="104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</row>
    <row r="453" ht="21.0" customHeight="1">
      <c r="A453" s="12"/>
      <c r="B453" s="104"/>
      <c r="C453" s="104"/>
      <c r="D453" s="104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</row>
    <row r="454" ht="21.0" customHeight="1">
      <c r="A454" s="12"/>
      <c r="B454" s="103"/>
      <c r="C454" s="103"/>
      <c r="D454" s="104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</row>
    <row r="455" ht="21.0" customHeight="1">
      <c r="A455" s="12"/>
      <c r="B455" s="104"/>
      <c r="C455" s="104"/>
      <c r="D455" s="104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</row>
    <row r="456" ht="21.0" customHeight="1">
      <c r="A456" s="12"/>
      <c r="B456" s="104"/>
      <c r="C456" s="104"/>
      <c r="D456" s="104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</row>
    <row r="457" ht="21.0" customHeight="1">
      <c r="A457" s="12"/>
      <c r="B457" s="104"/>
      <c r="C457" s="104"/>
      <c r="D457" s="104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</row>
    <row r="458" ht="21.0" customHeight="1">
      <c r="A458" s="12"/>
      <c r="B458" s="104"/>
      <c r="C458" s="104"/>
      <c r="D458" s="104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</row>
    <row r="459" ht="21.0" customHeight="1">
      <c r="A459" s="12"/>
      <c r="B459" s="103"/>
      <c r="C459" s="103"/>
      <c r="D459" s="104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</row>
    <row r="460" ht="21.0" customHeight="1">
      <c r="A460" s="12"/>
      <c r="B460" s="104"/>
      <c r="C460" s="104"/>
      <c r="D460" s="104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</row>
    <row r="461" ht="21.0" customHeight="1">
      <c r="A461" s="12"/>
      <c r="B461" s="104"/>
      <c r="C461" s="104"/>
      <c r="D461" s="104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</row>
    <row r="462" ht="21.0" customHeight="1">
      <c r="A462" s="12"/>
      <c r="B462" s="104"/>
      <c r="C462" s="104"/>
      <c r="D462" s="104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</row>
    <row r="463" ht="21.0" customHeight="1">
      <c r="A463" s="12"/>
      <c r="B463" s="104"/>
      <c r="C463" s="104"/>
      <c r="D463" s="104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</row>
    <row r="464" ht="21.0" customHeight="1">
      <c r="A464" s="12"/>
      <c r="B464" s="104"/>
      <c r="C464" s="104"/>
      <c r="D464" s="104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</row>
    <row r="465" ht="21.0" customHeight="1">
      <c r="A465" s="12"/>
      <c r="B465" s="103"/>
      <c r="C465" s="103"/>
      <c r="D465" s="104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</row>
    <row r="466" ht="21.0" customHeight="1">
      <c r="A466" s="12"/>
      <c r="B466" s="104"/>
      <c r="C466" s="104"/>
      <c r="D466" s="103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</row>
    <row r="467" ht="21.0" customHeight="1">
      <c r="A467" s="12"/>
      <c r="B467" s="103"/>
      <c r="C467" s="103"/>
      <c r="D467" s="104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</row>
    <row r="468" ht="21.0" customHeight="1">
      <c r="A468" s="12"/>
      <c r="B468" s="103"/>
      <c r="C468" s="103"/>
      <c r="D468" s="104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</row>
    <row r="469" ht="21.0" customHeight="1">
      <c r="A469" s="12"/>
      <c r="B469" s="104"/>
      <c r="C469" s="104"/>
      <c r="D469" s="104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</row>
    <row r="470" ht="21.0" customHeight="1">
      <c r="A470" s="12"/>
      <c r="B470" s="104"/>
      <c r="C470" s="104"/>
      <c r="D470" s="104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</row>
    <row r="471" ht="21.0" customHeight="1">
      <c r="A471" s="12"/>
      <c r="B471" s="104"/>
      <c r="C471" s="104"/>
      <c r="D471" s="103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</row>
    <row r="472" ht="21.0" customHeight="1">
      <c r="A472" s="12"/>
      <c r="B472" s="104"/>
      <c r="C472" s="104"/>
      <c r="D472" s="104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</row>
    <row r="473" ht="21.0" customHeight="1">
      <c r="A473" s="12"/>
      <c r="B473" s="104"/>
      <c r="C473" s="104"/>
      <c r="D473" s="104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</row>
    <row r="474" ht="21.0" customHeight="1">
      <c r="A474" s="12"/>
      <c r="B474" s="104"/>
      <c r="C474" s="104"/>
      <c r="D474" s="104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</row>
    <row r="475" ht="21.0" customHeight="1">
      <c r="A475" s="12"/>
      <c r="B475" s="104"/>
      <c r="C475" s="104"/>
      <c r="D475" s="104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</row>
    <row r="476" ht="21.0" customHeight="1">
      <c r="A476" s="12"/>
      <c r="B476" s="103"/>
      <c r="C476" s="103"/>
      <c r="D476" s="104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</row>
    <row r="477" ht="21.0" customHeight="1">
      <c r="A477" s="12"/>
      <c r="B477" s="104"/>
      <c r="C477" s="104"/>
      <c r="D477" s="104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</row>
    <row r="478" ht="21.0" customHeight="1">
      <c r="A478" s="12"/>
      <c r="B478" s="104"/>
      <c r="C478" s="104"/>
      <c r="D478" s="104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</row>
    <row r="479" ht="21.0" customHeight="1">
      <c r="A479" s="12"/>
      <c r="B479" s="104"/>
      <c r="C479" s="104"/>
      <c r="D479" s="104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</row>
    <row r="480" ht="21.0" customHeight="1">
      <c r="A480" s="12"/>
      <c r="B480" s="104"/>
      <c r="C480" s="104"/>
      <c r="D480" s="104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</row>
    <row r="481" ht="21.0" customHeight="1">
      <c r="A481" s="12"/>
      <c r="B481" s="104"/>
      <c r="C481" s="104"/>
      <c r="D481" s="104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</row>
    <row r="482" ht="21.0" customHeight="1">
      <c r="A482" s="12"/>
      <c r="B482" s="104"/>
      <c r="C482" s="104"/>
      <c r="D482" s="104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</row>
    <row r="483" ht="21.0" customHeight="1">
      <c r="A483" s="12"/>
      <c r="B483" s="104"/>
      <c r="C483" s="104"/>
      <c r="D483" s="108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  <c r="BF483" s="66"/>
      <c r="BG483" s="66"/>
      <c r="BH483" s="66"/>
      <c r="BI483" s="66"/>
      <c r="BJ483" s="66"/>
      <c r="BK483" s="66"/>
      <c r="BL483" s="66"/>
      <c r="BM483" s="66"/>
      <c r="BN483" s="66"/>
      <c r="BO483" s="66"/>
      <c r="BP483" s="66"/>
      <c r="BQ483" s="66"/>
      <c r="BR483" s="66"/>
      <c r="BS483" s="66"/>
      <c r="BT483" s="66"/>
      <c r="BU483" s="66"/>
      <c r="BV483" s="66"/>
      <c r="BW483" s="66"/>
      <c r="BX483" s="66"/>
      <c r="BY483" s="66"/>
      <c r="BZ483" s="66"/>
      <c r="CA483" s="66"/>
      <c r="CB483" s="66"/>
      <c r="CC483" s="66"/>
    </row>
    <row r="484" ht="21.0" customHeight="1">
      <c r="A484" s="12"/>
      <c r="B484" s="104"/>
      <c r="C484" s="104"/>
      <c r="D484" s="108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6"/>
      <c r="AW484" s="66"/>
      <c r="AX484" s="66"/>
      <c r="AY484" s="66"/>
      <c r="AZ484" s="66"/>
      <c r="BA484" s="66"/>
      <c r="BB484" s="66"/>
      <c r="BC484" s="66"/>
      <c r="BD484" s="66"/>
      <c r="BE484" s="66"/>
      <c r="BF484" s="66"/>
      <c r="BG484" s="66"/>
      <c r="BH484" s="66"/>
      <c r="BI484" s="66"/>
      <c r="BJ484" s="66"/>
      <c r="BK484" s="66"/>
      <c r="BL484" s="66"/>
      <c r="BM484" s="66"/>
      <c r="BN484" s="66"/>
      <c r="BO484" s="66"/>
      <c r="BP484" s="66"/>
      <c r="BQ484" s="66"/>
      <c r="BR484" s="66"/>
      <c r="BS484" s="66"/>
      <c r="BT484" s="66"/>
      <c r="BU484" s="66"/>
      <c r="BV484" s="66"/>
      <c r="BW484" s="66"/>
      <c r="BX484" s="66"/>
      <c r="BY484" s="66"/>
      <c r="BZ484" s="66"/>
      <c r="CA484" s="66"/>
      <c r="CB484" s="66"/>
      <c r="CC484" s="66"/>
    </row>
    <row r="485" ht="21.0" customHeight="1">
      <c r="A485" s="12"/>
      <c r="B485" s="103"/>
      <c r="C485" s="103"/>
      <c r="D485" s="108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6"/>
      <c r="AW485" s="66"/>
      <c r="AX485" s="66"/>
      <c r="AY485" s="66"/>
      <c r="AZ485" s="66"/>
      <c r="BA485" s="66"/>
      <c r="BB485" s="66"/>
      <c r="BC485" s="66"/>
      <c r="BD485" s="66"/>
      <c r="BE485" s="66"/>
      <c r="BF485" s="66"/>
      <c r="BG485" s="66"/>
      <c r="BH485" s="66"/>
      <c r="BI485" s="66"/>
      <c r="BJ485" s="66"/>
      <c r="BK485" s="66"/>
      <c r="BL485" s="66"/>
      <c r="BM485" s="66"/>
      <c r="BN485" s="66"/>
      <c r="BO485" s="66"/>
      <c r="BP485" s="66"/>
      <c r="BQ485" s="66"/>
      <c r="BR485" s="66"/>
      <c r="BS485" s="66"/>
      <c r="BT485" s="66"/>
      <c r="BU485" s="66"/>
      <c r="BV485" s="66"/>
      <c r="BW485" s="66"/>
      <c r="BX485" s="66"/>
      <c r="BY485" s="66"/>
      <c r="BZ485" s="66"/>
      <c r="CA485" s="66"/>
      <c r="CB485" s="66"/>
      <c r="CC485" s="66"/>
    </row>
    <row r="486" ht="21.0" customHeight="1">
      <c r="A486" s="12"/>
      <c r="B486" s="104"/>
      <c r="C486" s="104"/>
      <c r="D486" s="108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6"/>
      <c r="AW486" s="66"/>
      <c r="AX486" s="66"/>
      <c r="AY486" s="66"/>
      <c r="AZ486" s="66"/>
      <c r="BA486" s="66"/>
      <c r="BB486" s="66"/>
      <c r="BC486" s="66"/>
      <c r="BD486" s="66"/>
      <c r="BE486" s="66"/>
      <c r="BF486" s="66"/>
      <c r="BG486" s="66"/>
      <c r="BH486" s="66"/>
      <c r="BI486" s="66"/>
      <c r="BJ486" s="66"/>
      <c r="BK486" s="66"/>
      <c r="BL486" s="66"/>
      <c r="BM486" s="66"/>
      <c r="BN486" s="66"/>
      <c r="BO486" s="66"/>
      <c r="BP486" s="66"/>
      <c r="BQ486" s="66"/>
      <c r="BR486" s="66"/>
      <c r="BS486" s="66"/>
      <c r="BT486" s="66"/>
      <c r="BU486" s="66"/>
      <c r="BV486" s="66"/>
      <c r="BW486" s="66"/>
      <c r="BX486" s="66"/>
      <c r="BY486" s="66"/>
      <c r="BZ486" s="66"/>
      <c r="CA486" s="66"/>
      <c r="CB486" s="66"/>
      <c r="CC486" s="66"/>
    </row>
    <row r="487" ht="21.0" customHeight="1">
      <c r="A487" s="12"/>
      <c r="B487" s="104"/>
      <c r="C487" s="104"/>
      <c r="D487" s="108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6"/>
      <c r="AW487" s="66"/>
      <c r="AX487" s="66"/>
      <c r="AY487" s="66"/>
      <c r="AZ487" s="66"/>
      <c r="BA487" s="66"/>
      <c r="BB487" s="66"/>
      <c r="BC487" s="66"/>
      <c r="BD487" s="66"/>
      <c r="BE487" s="66"/>
      <c r="BF487" s="66"/>
      <c r="BG487" s="66"/>
      <c r="BH487" s="66"/>
      <c r="BI487" s="66"/>
      <c r="BJ487" s="66"/>
      <c r="BK487" s="66"/>
      <c r="BL487" s="66"/>
      <c r="BM487" s="66"/>
      <c r="BN487" s="66"/>
      <c r="BO487" s="66"/>
      <c r="BP487" s="66"/>
      <c r="BQ487" s="66"/>
      <c r="BR487" s="66"/>
      <c r="BS487" s="66"/>
      <c r="BT487" s="66"/>
      <c r="BU487" s="66"/>
      <c r="BV487" s="66"/>
      <c r="BW487" s="66"/>
      <c r="BX487" s="66"/>
      <c r="BY487" s="66"/>
      <c r="BZ487" s="66"/>
      <c r="CA487" s="66"/>
      <c r="CB487" s="66"/>
      <c r="CC487" s="66"/>
    </row>
    <row r="488" ht="21.0" customHeight="1">
      <c r="A488" s="12"/>
      <c r="B488" s="104"/>
      <c r="C488" s="104"/>
      <c r="D488" s="108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/>
      <c r="BJ488" s="66"/>
      <c r="BK488" s="66"/>
      <c r="BL488" s="66"/>
      <c r="BM488" s="66"/>
      <c r="BN488" s="66"/>
      <c r="BO488" s="66"/>
      <c r="BP488" s="66"/>
      <c r="BQ488" s="66"/>
      <c r="BR488" s="66"/>
      <c r="BS488" s="66"/>
      <c r="BT488" s="66"/>
      <c r="BU488" s="66"/>
      <c r="BV488" s="66"/>
      <c r="BW488" s="66"/>
      <c r="BX488" s="66"/>
      <c r="BY488" s="66"/>
      <c r="BZ488" s="66"/>
      <c r="CA488" s="66"/>
      <c r="CB488" s="66"/>
      <c r="CC488" s="66"/>
    </row>
    <row r="489" ht="21.0" customHeight="1">
      <c r="A489" s="12"/>
      <c r="B489" s="104"/>
      <c r="C489" s="104"/>
      <c r="D489" s="108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6"/>
      <c r="BB489" s="66"/>
      <c r="BC489" s="66"/>
      <c r="BD489" s="66"/>
      <c r="BE489" s="66"/>
      <c r="BF489" s="66"/>
      <c r="BG489" s="66"/>
      <c r="BH489" s="66"/>
      <c r="BI489" s="66"/>
      <c r="BJ489" s="66"/>
      <c r="BK489" s="66"/>
      <c r="BL489" s="66"/>
      <c r="BM489" s="66"/>
      <c r="BN489" s="66"/>
      <c r="BO489" s="66"/>
      <c r="BP489" s="66"/>
      <c r="BQ489" s="66"/>
      <c r="BR489" s="66"/>
      <c r="BS489" s="66"/>
      <c r="BT489" s="66"/>
      <c r="BU489" s="66"/>
      <c r="BV489" s="66"/>
      <c r="BW489" s="66"/>
      <c r="BX489" s="66"/>
      <c r="BY489" s="66"/>
      <c r="BZ489" s="66"/>
      <c r="CA489" s="66"/>
      <c r="CB489" s="66"/>
      <c r="CC489" s="66"/>
    </row>
    <row r="490" ht="21.0" customHeight="1">
      <c r="A490" s="12"/>
      <c r="B490" s="104"/>
      <c r="C490" s="104"/>
      <c r="D490" s="108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6"/>
      <c r="AW490" s="66"/>
      <c r="AX490" s="66"/>
      <c r="AY490" s="66"/>
      <c r="AZ490" s="66"/>
      <c r="BA490" s="66"/>
      <c r="BB490" s="66"/>
      <c r="BC490" s="66"/>
      <c r="BD490" s="66"/>
      <c r="BE490" s="66"/>
      <c r="BF490" s="66"/>
      <c r="BG490" s="66"/>
      <c r="BH490" s="66"/>
      <c r="BI490" s="66"/>
      <c r="BJ490" s="66"/>
      <c r="BK490" s="66"/>
      <c r="BL490" s="66"/>
      <c r="BM490" s="66"/>
      <c r="BN490" s="66"/>
      <c r="BO490" s="66"/>
      <c r="BP490" s="66"/>
      <c r="BQ490" s="66"/>
      <c r="BR490" s="66"/>
      <c r="BS490" s="66"/>
      <c r="BT490" s="66"/>
      <c r="BU490" s="66"/>
      <c r="BV490" s="66"/>
      <c r="BW490" s="66"/>
      <c r="BX490" s="66"/>
      <c r="BY490" s="66"/>
      <c r="BZ490" s="66"/>
      <c r="CA490" s="66"/>
      <c r="CB490" s="66"/>
      <c r="CC490" s="66"/>
    </row>
    <row r="491" ht="21.0" customHeight="1">
      <c r="A491" s="12"/>
      <c r="B491" s="104"/>
      <c r="C491" s="104"/>
      <c r="D491" s="108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  <c r="BF491" s="66"/>
      <c r="BG491" s="66"/>
      <c r="BH491" s="66"/>
      <c r="BI491" s="66"/>
      <c r="BJ491" s="66"/>
      <c r="BK491" s="66"/>
      <c r="BL491" s="66"/>
      <c r="BM491" s="66"/>
      <c r="BN491" s="66"/>
      <c r="BO491" s="66"/>
      <c r="BP491" s="66"/>
      <c r="BQ491" s="66"/>
      <c r="BR491" s="66"/>
      <c r="BS491" s="66"/>
      <c r="BT491" s="66"/>
      <c r="BU491" s="66"/>
      <c r="BV491" s="66"/>
      <c r="BW491" s="66"/>
      <c r="BX491" s="66"/>
      <c r="BY491" s="66"/>
      <c r="BZ491" s="66"/>
      <c r="CA491" s="66"/>
      <c r="CB491" s="66"/>
      <c r="CC491" s="66"/>
    </row>
    <row r="492" ht="21.0" customHeight="1">
      <c r="A492" s="12"/>
      <c r="B492" s="104"/>
      <c r="C492" s="104"/>
      <c r="D492" s="108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6"/>
      <c r="AW492" s="66"/>
      <c r="AX492" s="66"/>
      <c r="AY492" s="66"/>
      <c r="AZ492" s="66"/>
      <c r="BA492" s="66"/>
      <c r="BB492" s="66"/>
      <c r="BC492" s="66"/>
      <c r="BD492" s="66"/>
      <c r="BE492" s="66"/>
      <c r="BF492" s="66"/>
      <c r="BG492" s="66"/>
      <c r="BH492" s="66"/>
      <c r="BI492" s="66"/>
      <c r="BJ492" s="66"/>
      <c r="BK492" s="66"/>
      <c r="BL492" s="66"/>
      <c r="BM492" s="66"/>
      <c r="BN492" s="66"/>
      <c r="BO492" s="66"/>
      <c r="BP492" s="66"/>
      <c r="BQ492" s="66"/>
      <c r="BR492" s="66"/>
      <c r="BS492" s="66"/>
      <c r="BT492" s="66"/>
      <c r="BU492" s="66"/>
      <c r="BV492" s="66"/>
      <c r="BW492" s="66"/>
      <c r="BX492" s="66"/>
      <c r="BY492" s="66"/>
      <c r="BZ492" s="66"/>
      <c r="CA492" s="66"/>
      <c r="CB492" s="66"/>
      <c r="CC492" s="66"/>
    </row>
    <row r="493" ht="21.0" customHeight="1">
      <c r="A493" s="12"/>
      <c r="B493" s="103"/>
      <c r="C493" s="103"/>
      <c r="D493" s="108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/>
      <c r="BJ493" s="66"/>
      <c r="BK493" s="66"/>
      <c r="BL493" s="66"/>
      <c r="BM493" s="66"/>
      <c r="BN493" s="66"/>
      <c r="BO493" s="66"/>
      <c r="BP493" s="66"/>
      <c r="BQ493" s="66"/>
      <c r="BR493" s="66"/>
      <c r="BS493" s="66"/>
      <c r="BT493" s="66"/>
      <c r="BU493" s="66"/>
      <c r="BV493" s="66"/>
      <c r="BW493" s="66"/>
      <c r="BX493" s="66"/>
      <c r="BY493" s="66"/>
      <c r="BZ493" s="66"/>
      <c r="CA493" s="66"/>
      <c r="CB493" s="66"/>
      <c r="CC493" s="66"/>
    </row>
    <row r="494" ht="21.0" customHeight="1">
      <c r="A494" s="12"/>
      <c r="B494" s="104"/>
      <c r="C494" s="104"/>
      <c r="D494" s="108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6"/>
      <c r="AW494" s="66"/>
      <c r="AX494" s="66"/>
      <c r="AY494" s="66"/>
      <c r="AZ494" s="66"/>
      <c r="BA494" s="66"/>
      <c r="BB494" s="66"/>
      <c r="BC494" s="66"/>
      <c r="BD494" s="66"/>
      <c r="BE494" s="66"/>
      <c r="BF494" s="66"/>
      <c r="BG494" s="66"/>
      <c r="BH494" s="66"/>
      <c r="BI494" s="66"/>
      <c r="BJ494" s="66"/>
      <c r="BK494" s="66"/>
      <c r="BL494" s="66"/>
      <c r="BM494" s="66"/>
      <c r="BN494" s="66"/>
      <c r="BO494" s="66"/>
      <c r="BP494" s="66"/>
      <c r="BQ494" s="66"/>
      <c r="BR494" s="66"/>
      <c r="BS494" s="66"/>
      <c r="BT494" s="66"/>
      <c r="BU494" s="66"/>
      <c r="BV494" s="66"/>
      <c r="BW494" s="66"/>
      <c r="BX494" s="66"/>
      <c r="BY494" s="66"/>
      <c r="BZ494" s="66"/>
      <c r="CA494" s="66"/>
      <c r="CB494" s="66"/>
      <c r="CC494" s="66"/>
    </row>
    <row r="495" ht="21.0" customHeight="1">
      <c r="A495" s="12"/>
      <c r="B495" s="104"/>
      <c r="C495" s="104"/>
      <c r="D495" s="108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6"/>
      <c r="AW495" s="66"/>
      <c r="AX495" s="66"/>
      <c r="AY495" s="66"/>
      <c r="AZ495" s="66"/>
      <c r="BA495" s="66"/>
      <c r="BB495" s="66"/>
      <c r="BC495" s="66"/>
      <c r="BD495" s="66"/>
      <c r="BE495" s="66"/>
      <c r="BF495" s="66"/>
      <c r="BG495" s="66"/>
      <c r="BH495" s="66"/>
      <c r="BI495" s="66"/>
      <c r="BJ495" s="66"/>
      <c r="BK495" s="66"/>
      <c r="BL495" s="66"/>
      <c r="BM495" s="66"/>
      <c r="BN495" s="66"/>
      <c r="BO495" s="66"/>
      <c r="BP495" s="66"/>
      <c r="BQ495" s="66"/>
      <c r="BR495" s="66"/>
      <c r="BS495" s="66"/>
      <c r="BT495" s="66"/>
      <c r="BU495" s="66"/>
      <c r="BV495" s="66"/>
      <c r="BW495" s="66"/>
      <c r="BX495" s="66"/>
      <c r="BY495" s="66"/>
      <c r="BZ495" s="66"/>
      <c r="CA495" s="66"/>
      <c r="CB495" s="66"/>
      <c r="CC495" s="66"/>
    </row>
    <row r="496" ht="21.0" customHeight="1">
      <c r="A496" s="12"/>
      <c r="B496" s="104"/>
      <c r="C496" s="104"/>
      <c r="D496" s="108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6"/>
      <c r="AW496" s="66"/>
      <c r="AX496" s="66"/>
      <c r="AY496" s="66"/>
      <c r="AZ496" s="66"/>
      <c r="BA496" s="66"/>
      <c r="BB496" s="66"/>
      <c r="BC496" s="66"/>
      <c r="BD496" s="66"/>
      <c r="BE496" s="66"/>
      <c r="BF496" s="66"/>
      <c r="BG496" s="66"/>
      <c r="BH496" s="66"/>
      <c r="BI496" s="66"/>
      <c r="BJ496" s="66"/>
      <c r="BK496" s="66"/>
      <c r="BL496" s="66"/>
      <c r="BM496" s="66"/>
      <c r="BN496" s="66"/>
      <c r="BO496" s="66"/>
      <c r="BP496" s="66"/>
      <c r="BQ496" s="66"/>
      <c r="BR496" s="66"/>
      <c r="BS496" s="66"/>
      <c r="BT496" s="66"/>
      <c r="BU496" s="66"/>
      <c r="BV496" s="66"/>
      <c r="BW496" s="66"/>
      <c r="BX496" s="66"/>
      <c r="BY496" s="66"/>
      <c r="BZ496" s="66"/>
      <c r="CA496" s="66"/>
      <c r="CB496" s="66"/>
      <c r="CC496" s="66"/>
    </row>
    <row r="497" ht="21.0" customHeight="1">
      <c r="A497" s="12"/>
      <c r="B497" s="104"/>
      <c r="C497" s="104"/>
      <c r="D497" s="108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6"/>
      <c r="AW497" s="66"/>
      <c r="AX497" s="66"/>
      <c r="AY497" s="66"/>
      <c r="AZ497" s="66"/>
      <c r="BA497" s="66"/>
      <c r="BB497" s="66"/>
      <c r="BC497" s="66"/>
      <c r="BD497" s="66"/>
      <c r="BE497" s="66"/>
      <c r="BF497" s="66"/>
      <c r="BG497" s="66"/>
      <c r="BH497" s="66"/>
      <c r="BI497" s="66"/>
      <c r="BJ497" s="66"/>
      <c r="BK497" s="66"/>
      <c r="BL497" s="66"/>
      <c r="BM497" s="66"/>
      <c r="BN497" s="66"/>
      <c r="BO497" s="66"/>
      <c r="BP497" s="66"/>
      <c r="BQ497" s="66"/>
      <c r="BR497" s="66"/>
      <c r="BS497" s="66"/>
      <c r="BT497" s="66"/>
      <c r="BU497" s="66"/>
      <c r="BV497" s="66"/>
      <c r="BW497" s="66"/>
      <c r="BX497" s="66"/>
      <c r="BY497" s="66"/>
      <c r="BZ497" s="66"/>
      <c r="CA497" s="66"/>
      <c r="CB497" s="66"/>
      <c r="CC497" s="66"/>
    </row>
    <row r="498" ht="21.0" customHeight="1">
      <c r="A498" s="12"/>
      <c r="B498" s="104"/>
      <c r="C498" s="104"/>
      <c r="D498" s="108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6"/>
      <c r="BB498" s="66"/>
      <c r="BC498" s="66"/>
      <c r="BD498" s="66"/>
      <c r="BE498" s="66"/>
      <c r="BF498" s="66"/>
      <c r="BG498" s="66"/>
      <c r="BH498" s="66"/>
      <c r="BI498" s="66"/>
      <c r="BJ498" s="66"/>
      <c r="BK498" s="66"/>
      <c r="BL498" s="66"/>
      <c r="BM498" s="66"/>
      <c r="BN498" s="66"/>
      <c r="BO498" s="66"/>
      <c r="BP498" s="66"/>
      <c r="BQ498" s="66"/>
      <c r="BR498" s="66"/>
      <c r="BS498" s="66"/>
      <c r="BT498" s="66"/>
      <c r="BU498" s="66"/>
      <c r="BV498" s="66"/>
      <c r="BW498" s="66"/>
      <c r="BX498" s="66"/>
      <c r="BY498" s="66"/>
      <c r="BZ498" s="66"/>
      <c r="CA498" s="66"/>
      <c r="CB498" s="66"/>
      <c r="CC498" s="66"/>
    </row>
    <row r="499" ht="21.0" customHeight="1">
      <c r="A499" s="12"/>
      <c r="B499" s="104"/>
      <c r="C499" s="104"/>
      <c r="D499" s="108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6"/>
      <c r="AW499" s="66"/>
      <c r="AX499" s="66"/>
      <c r="AY499" s="66"/>
      <c r="AZ499" s="66"/>
      <c r="BA499" s="66"/>
      <c r="BB499" s="66"/>
      <c r="BC499" s="66"/>
      <c r="BD499" s="66"/>
      <c r="BE499" s="66"/>
      <c r="BF499" s="66"/>
      <c r="BG499" s="66"/>
      <c r="BH499" s="66"/>
      <c r="BI499" s="66"/>
      <c r="BJ499" s="66"/>
      <c r="BK499" s="66"/>
      <c r="BL499" s="66"/>
      <c r="BM499" s="66"/>
      <c r="BN499" s="66"/>
      <c r="BO499" s="66"/>
      <c r="BP499" s="66"/>
      <c r="BQ499" s="66"/>
      <c r="BR499" s="66"/>
      <c r="BS499" s="66"/>
      <c r="BT499" s="66"/>
      <c r="BU499" s="66"/>
      <c r="BV499" s="66"/>
      <c r="BW499" s="66"/>
      <c r="BX499" s="66"/>
      <c r="BY499" s="66"/>
      <c r="BZ499" s="66"/>
      <c r="CA499" s="66"/>
      <c r="CB499" s="66"/>
      <c r="CC499" s="66"/>
    </row>
    <row r="500" ht="21.0" customHeight="1">
      <c r="A500" s="12"/>
      <c r="B500" s="104"/>
      <c r="C500" s="104"/>
      <c r="D500" s="108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6"/>
      <c r="AW500" s="66"/>
      <c r="AX500" s="66"/>
      <c r="AY500" s="66"/>
      <c r="AZ500" s="66"/>
      <c r="BA500" s="66"/>
      <c r="BB500" s="66"/>
      <c r="BC500" s="66"/>
      <c r="BD500" s="66"/>
      <c r="BE500" s="66"/>
      <c r="BF500" s="66"/>
      <c r="BG500" s="66"/>
      <c r="BH500" s="66"/>
      <c r="BI500" s="66"/>
      <c r="BJ500" s="66"/>
      <c r="BK500" s="66"/>
      <c r="BL500" s="66"/>
      <c r="BM500" s="66"/>
      <c r="BN500" s="66"/>
      <c r="BO500" s="66"/>
      <c r="BP500" s="66"/>
      <c r="BQ500" s="66"/>
      <c r="BR500" s="66"/>
      <c r="BS500" s="66"/>
      <c r="BT500" s="66"/>
      <c r="BU500" s="66"/>
      <c r="BV500" s="66"/>
      <c r="BW500" s="66"/>
      <c r="BX500" s="66"/>
      <c r="BY500" s="66"/>
      <c r="BZ500" s="66"/>
      <c r="CA500" s="66"/>
      <c r="CB500" s="66"/>
      <c r="CC500" s="66"/>
    </row>
    <row r="501" ht="21.0" customHeight="1">
      <c r="A501" s="12"/>
      <c r="B501" s="104"/>
      <c r="C501" s="104"/>
      <c r="D501" s="108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6"/>
      <c r="AW501" s="66"/>
      <c r="AX501" s="66"/>
      <c r="AY501" s="66"/>
      <c r="AZ501" s="66"/>
      <c r="BA501" s="66"/>
      <c r="BB501" s="66"/>
      <c r="BC501" s="66"/>
      <c r="BD501" s="66"/>
      <c r="BE501" s="66"/>
      <c r="BF501" s="66"/>
      <c r="BG501" s="66"/>
      <c r="BH501" s="66"/>
      <c r="BI501" s="66"/>
      <c r="BJ501" s="66"/>
      <c r="BK501" s="66"/>
      <c r="BL501" s="66"/>
      <c r="BM501" s="66"/>
      <c r="BN501" s="66"/>
      <c r="BO501" s="66"/>
      <c r="BP501" s="66"/>
      <c r="BQ501" s="66"/>
      <c r="BR501" s="66"/>
      <c r="BS501" s="66"/>
      <c r="BT501" s="66"/>
      <c r="BU501" s="66"/>
      <c r="BV501" s="66"/>
      <c r="BW501" s="66"/>
      <c r="BX501" s="66"/>
      <c r="BY501" s="66"/>
      <c r="BZ501" s="66"/>
      <c r="CA501" s="66"/>
      <c r="CB501" s="66"/>
      <c r="CC501" s="66"/>
    </row>
    <row r="502" ht="21.0" customHeight="1">
      <c r="A502" s="12"/>
      <c r="B502" s="104"/>
      <c r="C502" s="104"/>
      <c r="D502" s="108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6"/>
      <c r="AW502" s="66"/>
      <c r="AX502" s="66"/>
      <c r="AY502" s="66"/>
      <c r="AZ502" s="66"/>
      <c r="BA502" s="66"/>
      <c r="BB502" s="66"/>
      <c r="BC502" s="66"/>
      <c r="BD502" s="66"/>
      <c r="BE502" s="66"/>
      <c r="BF502" s="66"/>
      <c r="BG502" s="66"/>
      <c r="BH502" s="66"/>
      <c r="BI502" s="66"/>
      <c r="BJ502" s="66"/>
      <c r="BK502" s="66"/>
      <c r="BL502" s="66"/>
      <c r="BM502" s="66"/>
      <c r="BN502" s="66"/>
      <c r="BO502" s="66"/>
      <c r="BP502" s="66"/>
      <c r="BQ502" s="66"/>
      <c r="BR502" s="66"/>
      <c r="BS502" s="66"/>
      <c r="BT502" s="66"/>
      <c r="BU502" s="66"/>
      <c r="BV502" s="66"/>
      <c r="BW502" s="66"/>
      <c r="BX502" s="66"/>
      <c r="BY502" s="66"/>
      <c r="BZ502" s="66"/>
      <c r="CA502" s="66"/>
      <c r="CB502" s="66"/>
      <c r="CC502" s="66"/>
    </row>
    <row r="503" ht="21.0" customHeight="1">
      <c r="A503" s="12"/>
      <c r="B503" s="104"/>
      <c r="C503" s="104"/>
      <c r="D503" s="108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66"/>
      <c r="AU503" s="66"/>
      <c r="AV503" s="66"/>
      <c r="AW503" s="66"/>
      <c r="AX503" s="66"/>
      <c r="AY503" s="66"/>
      <c r="AZ503" s="66"/>
      <c r="BA503" s="66"/>
      <c r="BB503" s="66"/>
      <c r="BC503" s="66"/>
      <c r="BD503" s="66"/>
      <c r="BE503" s="66"/>
      <c r="BF503" s="66"/>
      <c r="BG503" s="66"/>
      <c r="BH503" s="66"/>
      <c r="BI503" s="66"/>
      <c r="BJ503" s="66"/>
      <c r="BK503" s="66"/>
      <c r="BL503" s="66"/>
      <c r="BM503" s="66"/>
      <c r="BN503" s="66"/>
      <c r="BO503" s="66"/>
      <c r="BP503" s="66"/>
      <c r="BQ503" s="66"/>
      <c r="BR503" s="66"/>
      <c r="BS503" s="66"/>
      <c r="BT503" s="66"/>
      <c r="BU503" s="66"/>
      <c r="BV503" s="66"/>
      <c r="BW503" s="66"/>
      <c r="BX503" s="66"/>
      <c r="BY503" s="66"/>
      <c r="BZ503" s="66"/>
      <c r="CA503" s="66"/>
      <c r="CB503" s="66"/>
      <c r="CC503" s="66"/>
    </row>
    <row r="504" ht="21.0" customHeight="1">
      <c r="A504" s="12"/>
      <c r="B504" s="104"/>
      <c r="C504" s="104"/>
      <c r="D504" s="108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66"/>
      <c r="AU504" s="66"/>
      <c r="AV504" s="66"/>
      <c r="AW504" s="66"/>
      <c r="AX504" s="66"/>
      <c r="AY504" s="66"/>
      <c r="AZ504" s="66"/>
      <c r="BA504" s="66"/>
      <c r="BB504" s="66"/>
      <c r="BC504" s="66"/>
      <c r="BD504" s="66"/>
      <c r="BE504" s="66"/>
      <c r="BF504" s="66"/>
      <c r="BG504" s="66"/>
      <c r="BH504" s="66"/>
      <c r="BI504" s="66"/>
      <c r="BJ504" s="66"/>
      <c r="BK504" s="66"/>
      <c r="BL504" s="66"/>
      <c r="BM504" s="66"/>
      <c r="BN504" s="66"/>
      <c r="BO504" s="66"/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6"/>
      <c r="CA504" s="66"/>
      <c r="CB504" s="66"/>
      <c r="CC504" s="66"/>
    </row>
    <row r="505" ht="21.0" customHeight="1">
      <c r="A505" s="12"/>
      <c r="B505" s="103"/>
      <c r="C505" s="103"/>
      <c r="D505" s="108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  <c r="AS505" s="66"/>
      <c r="AT505" s="66"/>
      <c r="AU505" s="66"/>
      <c r="AV505" s="66"/>
      <c r="AW505" s="66"/>
      <c r="AX505" s="66"/>
      <c r="AY505" s="66"/>
      <c r="AZ505" s="66"/>
      <c r="BA505" s="66"/>
      <c r="BB505" s="66"/>
      <c r="BC505" s="66"/>
      <c r="BD505" s="66"/>
      <c r="BE505" s="66"/>
      <c r="BF505" s="66"/>
      <c r="BG505" s="66"/>
      <c r="BH505" s="66"/>
      <c r="BI505" s="66"/>
      <c r="BJ505" s="66"/>
      <c r="BK505" s="66"/>
      <c r="BL505" s="66"/>
      <c r="BM505" s="66"/>
      <c r="BN505" s="66"/>
      <c r="BO505" s="66"/>
      <c r="BP505" s="66"/>
      <c r="BQ505" s="66"/>
      <c r="BR505" s="66"/>
      <c r="BS505" s="66"/>
      <c r="BT505" s="66"/>
      <c r="BU505" s="66"/>
      <c r="BV505" s="66"/>
      <c r="BW505" s="66"/>
      <c r="BX505" s="66"/>
      <c r="BY505" s="66"/>
      <c r="BZ505" s="66"/>
      <c r="CA505" s="66"/>
      <c r="CB505" s="66"/>
      <c r="CC505" s="66"/>
    </row>
    <row r="506" ht="21.0" customHeight="1">
      <c r="A506" s="12"/>
      <c r="B506" s="104"/>
      <c r="C506" s="104"/>
      <c r="D506" s="108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66"/>
      <c r="AU506" s="66"/>
      <c r="AV506" s="66"/>
      <c r="AW506" s="66"/>
      <c r="AX506" s="66"/>
      <c r="AY506" s="66"/>
      <c r="AZ506" s="66"/>
      <c r="BA506" s="66"/>
      <c r="BB506" s="66"/>
      <c r="BC506" s="66"/>
      <c r="BD506" s="66"/>
      <c r="BE506" s="66"/>
      <c r="BF506" s="66"/>
      <c r="BG506" s="66"/>
      <c r="BH506" s="66"/>
      <c r="BI506" s="66"/>
      <c r="BJ506" s="66"/>
      <c r="BK506" s="66"/>
      <c r="BL506" s="66"/>
      <c r="BM506" s="66"/>
      <c r="BN506" s="66"/>
      <c r="BO506" s="66"/>
      <c r="BP506" s="66"/>
      <c r="BQ506" s="66"/>
      <c r="BR506" s="66"/>
      <c r="BS506" s="66"/>
      <c r="BT506" s="66"/>
      <c r="BU506" s="66"/>
      <c r="BV506" s="66"/>
      <c r="BW506" s="66"/>
      <c r="BX506" s="66"/>
      <c r="BY506" s="66"/>
      <c r="BZ506" s="66"/>
      <c r="CA506" s="66"/>
      <c r="CB506" s="66"/>
      <c r="CC506" s="66"/>
    </row>
    <row r="507" ht="21.0" customHeight="1">
      <c r="A507" s="12"/>
      <c r="B507" s="104"/>
      <c r="C507" s="104"/>
      <c r="D507" s="108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66"/>
      <c r="AU507" s="66"/>
      <c r="AV507" s="66"/>
      <c r="AW507" s="66"/>
      <c r="AX507" s="66"/>
      <c r="AY507" s="66"/>
      <c r="AZ507" s="66"/>
      <c r="BA507" s="66"/>
      <c r="BB507" s="66"/>
      <c r="BC507" s="66"/>
      <c r="BD507" s="66"/>
      <c r="BE507" s="66"/>
      <c r="BF507" s="66"/>
      <c r="BG507" s="66"/>
      <c r="BH507" s="66"/>
      <c r="BI507" s="66"/>
      <c r="BJ507" s="66"/>
      <c r="BK507" s="66"/>
      <c r="BL507" s="66"/>
      <c r="BM507" s="66"/>
      <c r="BN507" s="66"/>
      <c r="BO507" s="66"/>
      <c r="BP507" s="66"/>
      <c r="BQ507" s="66"/>
      <c r="BR507" s="66"/>
      <c r="BS507" s="66"/>
      <c r="BT507" s="66"/>
      <c r="BU507" s="66"/>
      <c r="BV507" s="66"/>
      <c r="BW507" s="66"/>
      <c r="BX507" s="66"/>
      <c r="BY507" s="66"/>
      <c r="BZ507" s="66"/>
      <c r="CA507" s="66"/>
      <c r="CB507" s="66"/>
      <c r="CC507" s="66"/>
    </row>
    <row r="508" ht="21.0" customHeight="1">
      <c r="A508" s="12"/>
      <c r="B508" s="104"/>
      <c r="C508" s="104"/>
      <c r="D508" s="108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6"/>
      <c r="AW508" s="66"/>
      <c r="AX508" s="66"/>
      <c r="AY508" s="66"/>
      <c r="AZ508" s="66"/>
      <c r="BA508" s="66"/>
      <c r="BB508" s="66"/>
      <c r="BC508" s="66"/>
      <c r="BD508" s="66"/>
      <c r="BE508" s="66"/>
      <c r="BF508" s="66"/>
      <c r="BG508" s="66"/>
      <c r="BH508" s="66"/>
      <c r="BI508" s="66"/>
      <c r="BJ508" s="66"/>
      <c r="BK508" s="66"/>
      <c r="BL508" s="66"/>
      <c r="BM508" s="66"/>
      <c r="BN508" s="66"/>
      <c r="BO508" s="66"/>
      <c r="BP508" s="66"/>
      <c r="BQ508" s="66"/>
      <c r="BR508" s="66"/>
      <c r="BS508" s="66"/>
      <c r="BT508" s="66"/>
      <c r="BU508" s="66"/>
      <c r="BV508" s="66"/>
      <c r="BW508" s="66"/>
      <c r="BX508" s="66"/>
      <c r="BY508" s="66"/>
      <c r="BZ508" s="66"/>
      <c r="CA508" s="66"/>
      <c r="CB508" s="66"/>
      <c r="CC508" s="66"/>
    </row>
    <row r="509" ht="21.0" customHeight="1">
      <c r="A509" s="12"/>
      <c r="B509" s="104"/>
      <c r="C509" s="104"/>
      <c r="D509" s="108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6"/>
      <c r="AW509" s="66"/>
      <c r="AX509" s="66"/>
      <c r="AY509" s="66"/>
      <c r="AZ509" s="66"/>
      <c r="BA509" s="66"/>
      <c r="BB509" s="66"/>
      <c r="BC509" s="66"/>
      <c r="BD509" s="66"/>
      <c r="BE509" s="66"/>
      <c r="BF509" s="66"/>
      <c r="BG509" s="66"/>
      <c r="BH509" s="66"/>
      <c r="BI509" s="66"/>
      <c r="BJ509" s="66"/>
      <c r="BK509" s="66"/>
      <c r="BL509" s="66"/>
      <c r="BM509" s="66"/>
      <c r="BN509" s="66"/>
      <c r="BO509" s="66"/>
      <c r="BP509" s="66"/>
      <c r="BQ509" s="66"/>
      <c r="BR509" s="66"/>
      <c r="BS509" s="66"/>
      <c r="BT509" s="66"/>
      <c r="BU509" s="66"/>
      <c r="BV509" s="66"/>
      <c r="BW509" s="66"/>
      <c r="BX509" s="66"/>
      <c r="BY509" s="66"/>
      <c r="BZ509" s="66"/>
      <c r="CA509" s="66"/>
      <c r="CB509" s="66"/>
      <c r="CC509" s="66"/>
    </row>
    <row r="510" ht="21.0" customHeight="1">
      <c r="A510" s="12"/>
      <c r="B510" s="103"/>
      <c r="C510" s="103"/>
      <c r="D510" s="108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6"/>
      <c r="AW510" s="66"/>
      <c r="AX510" s="66"/>
      <c r="AY510" s="66"/>
      <c r="AZ510" s="66"/>
      <c r="BA510" s="66"/>
      <c r="BB510" s="66"/>
      <c r="BC510" s="66"/>
      <c r="BD510" s="66"/>
      <c r="BE510" s="66"/>
      <c r="BF510" s="66"/>
      <c r="BG510" s="66"/>
      <c r="BH510" s="66"/>
      <c r="BI510" s="66"/>
      <c r="BJ510" s="66"/>
      <c r="BK510" s="66"/>
      <c r="BL510" s="66"/>
      <c r="BM510" s="66"/>
      <c r="BN510" s="66"/>
      <c r="BO510" s="66"/>
      <c r="BP510" s="66"/>
      <c r="BQ510" s="66"/>
      <c r="BR510" s="66"/>
      <c r="BS510" s="66"/>
      <c r="BT510" s="66"/>
      <c r="BU510" s="66"/>
      <c r="BV510" s="66"/>
      <c r="BW510" s="66"/>
      <c r="BX510" s="66"/>
      <c r="BY510" s="66"/>
      <c r="BZ510" s="66"/>
      <c r="CA510" s="66"/>
      <c r="CB510" s="66"/>
      <c r="CC510" s="66"/>
    </row>
    <row r="511" ht="21.0" customHeight="1">
      <c r="A511" s="12"/>
      <c r="B511" s="104"/>
      <c r="C511" s="104"/>
      <c r="D511" s="108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66"/>
      <c r="AU511" s="66"/>
      <c r="AV511" s="66"/>
      <c r="AW511" s="66"/>
      <c r="AX511" s="66"/>
      <c r="AY511" s="66"/>
      <c r="AZ511" s="66"/>
      <c r="BA511" s="66"/>
      <c r="BB511" s="66"/>
      <c r="BC511" s="66"/>
      <c r="BD511" s="66"/>
      <c r="BE511" s="66"/>
      <c r="BF511" s="66"/>
      <c r="BG511" s="66"/>
      <c r="BH511" s="66"/>
      <c r="BI511" s="66"/>
      <c r="BJ511" s="66"/>
      <c r="BK511" s="66"/>
      <c r="BL511" s="66"/>
      <c r="BM511" s="66"/>
      <c r="BN511" s="66"/>
      <c r="BO511" s="66"/>
      <c r="BP511" s="66"/>
      <c r="BQ511" s="66"/>
      <c r="BR511" s="66"/>
      <c r="BS511" s="66"/>
      <c r="BT511" s="66"/>
      <c r="BU511" s="66"/>
      <c r="BV511" s="66"/>
      <c r="BW511" s="66"/>
      <c r="BX511" s="66"/>
      <c r="BY511" s="66"/>
      <c r="BZ511" s="66"/>
      <c r="CA511" s="66"/>
      <c r="CB511" s="66"/>
      <c r="CC511" s="66"/>
    </row>
    <row r="512" ht="21.0" customHeight="1">
      <c r="A512" s="12"/>
      <c r="B512" s="104"/>
      <c r="C512" s="104"/>
      <c r="D512" s="108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6"/>
      <c r="AW512" s="66"/>
      <c r="AX512" s="66"/>
      <c r="AY512" s="66"/>
      <c r="AZ512" s="66"/>
      <c r="BA512" s="66"/>
      <c r="BB512" s="66"/>
      <c r="BC512" s="66"/>
      <c r="BD512" s="66"/>
      <c r="BE512" s="66"/>
      <c r="BF512" s="66"/>
      <c r="BG512" s="66"/>
      <c r="BH512" s="66"/>
      <c r="BI512" s="66"/>
      <c r="BJ512" s="66"/>
      <c r="BK512" s="66"/>
      <c r="BL512" s="66"/>
      <c r="BM512" s="66"/>
      <c r="BN512" s="66"/>
      <c r="BO512" s="66"/>
      <c r="BP512" s="66"/>
      <c r="BQ512" s="66"/>
      <c r="BR512" s="66"/>
      <c r="BS512" s="66"/>
      <c r="BT512" s="66"/>
      <c r="BU512" s="66"/>
      <c r="BV512" s="66"/>
      <c r="BW512" s="66"/>
      <c r="BX512" s="66"/>
      <c r="BY512" s="66"/>
      <c r="BZ512" s="66"/>
      <c r="CA512" s="66"/>
      <c r="CB512" s="66"/>
      <c r="CC512" s="66"/>
    </row>
    <row r="513" ht="21.0" customHeight="1">
      <c r="A513" s="12"/>
      <c r="B513" s="104"/>
      <c r="C513" s="104"/>
      <c r="D513" s="108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  <c r="AS513" s="66"/>
      <c r="AT513" s="66"/>
      <c r="AU513" s="66"/>
      <c r="AV513" s="66"/>
      <c r="AW513" s="66"/>
      <c r="AX513" s="66"/>
      <c r="AY513" s="66"/>
      <c r="AZ513" s="66"/>
      <c r="BA513" s="66"/>
      <c r="BB513" s="66"/>
      <c r="BC513" s="66"/>
      <c r="BD513" s="66"/>
      <c r="BE513" s="66"/>
      <c r="BF513" s="66"/>
      <c r="BG513" s="66"/>
      <c r="BH513" s="66"/>
      <c r="BI513" s="66"/>
      <c r="BJ513" s="66"/>
      <c r="BK513" s="66"/>
      <c r="BL513" s="66"/>
      <c r="BM513" s="66"/>
      <c r="BN513" s="66"/>
      <c r="BO513" s="66"/>
      <c r="BP513" s="66"/>
      <c r="BQ513" s="66"/>
      <c r="BR513" s="66"/>
      <c r="BS513" s="66"/>
      <c r="BT513" s="66"/>
      <c r="BU513" s="66"/>
      <c r="BV513" s="66"/>
      <c r="BW513" s="66"/>
      <c r="BX513" s="66"/>
      <c r="BY513" s="66"/>
      <c r="BZ513" s="66"/>
      <c r="CA513" s="66"/>
      <c r="CB513" s="66"/>
      <c r="CC513" s="66"/>
    </row>
    <row r="514" ht="21.0" customHeight="1">
      <c r="A514" s="12"/>
      <c r="B514" s="104"/>
      <c r="C514" s="104"/>
      <c r="D514" s="108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  <c r="AS514" s="66"/>
      <c r="AT514" s="66"/>
      <c r="AU514" s="66"/>
      <c r="AV514" s="66"/>
      <c r="AW514" s="66"/>
      <c r="AX514" s="66"/>
      <c r="AY514" s="66"/>
      <c r="AZ514" s="66"/>
      <c r="BA514" s="66"/>
      <c r="BB514" s="66"/>
      <c r="BC514" s="66"/>
      <c r="BD514" s="66"/>
      <c r="BE514" s="66"/>
      <c r="BF514" s="66"/>
      <c r="BG514" s="66"/>
      <c r="BH514" s="66"/>
      <c r="BI514" s="66"/>
      <c r="BJ514" s="66"/>
      <c r="BK514" s="66"/>
      <c r="BL514" s="66"/>
      <c r="BM514" s="66"/>
      <c r="BN514" s="66"/>
      <c r="BO514" s="66"/>
      <c r="BP514" s="66"/>
      <c r="BQ514" s="66"/>
      <c r="BR514" s="66"/>
      <c r="BS514" s="66"/>
      <c r="BT514" s="66"/>
      <c r="BU514" s="66"/>
      <c r="BV514" s="66"/>
      <c r="BW514" s="66"/>
      <c r="BX514" s="66"/>
      <c r="BY514" s="66"/>
      <c r="BZ514" s="66"/>
      <c r="CA514" s="66"/>
      <c r="CB514" s="66"/>
      <c r="CC514" s="66"/>
    </row>
    <row r="515" ht="21.0" customHeight="1">
      <c r="A515" s="12"/>
      <c r="B515" s="104"/>
      <c r="C515" s="104"/>
      <c r="D515" s="108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66"/>
      <c r="AU515" s="66"/>
      <c r="AV515" s="66"/>
      <c r="AW515" s="66"/>
      <c r="AX515" s="66"/>
      <c r="AY515" s="66"/>
      <c r="AZ515" s="66"/>
      <c r="BA515" s="66"/>
      <c r="BB515" s="66"/>
      <c r="BC515" s="66"/>
      <c r="BD515" s="66"/>
      <c r="BE515" s="66"/>
      <c r="BF515" s="66"/>
      <c r="BG515" s="66"/>
      <c r="BH515" s="66"/>
      <c r="BI515" s="66"/>
      <c r="BJ515" s="66"/>
      <c r="BK515" s="66"/>
      <c r="BL515" s="66"/>
      <c r="BM515" s="66"/>
      <c r="BN515" s="66"/>
      <c r="BO515" s="66"/>
      <c r="BP515" s="66"/>
      <c r="BQ515" s="66"/>
      <c r="BR515" s="66"/>
      <c r="BS515" s="66"/>
      <c r="BT515" s="66"/>
      <c r="BU515" s="66"/>
      <c r="BV515" s="66"/>
      <c r="BW515" s="66"/>
      <c r="BX515" s="66"/>
      <c r="BY515" s="66"/>
      <c r="BZ515" s="66"/>
      <c r="CA515" s="66"/>
      <c r="CB515" s="66"/>
      <c r="CC515" s="66"/>
    </row>
    <row r="516" ht="21.0" customHeight="1">
      <c r="A516" s="12"/>
      <c r="B516" s="104"/>
      <c r="C516" s="104"/>
      <c r="D516" s="108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6"/>
      <c r="BB516" s="66"/>
      <c r="BC516" s="66"/>
      <c r="BD516" s="66"/>
      <c r="BE516" s="66"/>
      <c r="BF516" s="66"/>
      <c r="BG516" s="66"/>
      <c r="BH516" s="66"/>
      <c r="BI516" s="66"/>
      <c r="BJ516" s="66"/>
      <c r="BK516" s="66"/>
      <c r="BL516" s="66"/>
      <c r="BM516" s="66"/>
      <c r="BN516" s="66"/>
      <c r="BO516" s="66"/>
      <c r="BP516" s="66"/>
      <c r="BQ516" s="66"/>
      <c r="BR516" s="66"/>
      <c r="BS516" s="66"/>
      <c r="BT516" s="66"/>
      <c r="BU516" s="66"/>
      <c r="BV516" s="66"/>
      <c r="BW516" s="66"/>
      <c r="BX516" s="66"/>
      <c r="BY516" s="66"/>
      <c r="BZ516" s="66"/>
      <c r="CA516" s="66"/>
      <c r="CB516" s="66"/>
      <c r="CC516" s="66"/>
    </row>
    <row r="517" ht="21.0" customHeight="1">
      <c r="A517" s="12"/>
      <c r="B517" s="104"/>
      <c r="C517" s="104"/>
      <c r="D517" s="108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66"/>
      <c r="AU517" s="66"/>
      <c r="AV517" s="66"/>
      <c r="AW517" s="66"/>
      <c r="AX517" s="66"/>
      <c r="AY517" s="66"/>
      <c r="AZ517" s="66"/>
      <c r="BA517" s="66"/>
      <c r="BB517" s="66"/>
      <c r="BC517" s="66"/>
      <c r="BD517" s="66"/>
      <c r="BE517" s="66"/>
      <c r="BF517" s="66"/>
      <c r="BG517" s="66"/>
      <c r="BH517" s="66"/>
      <c r="BI517" s="66"/>
      <c r="BJ517" s="66"/>
      <c r="BK517" s="66"/>
      <c r="BL517" s="66"/>
      <c r="BM517" s="66"/>
      <c r="BN517" s="66"/>
      <c r="BO517" s="66"/>
      <c r="BP517" s="66"/>
      <c r="BQ517" s="66"/>
      <c r="BR517" s="66"/>
      <c r="BS517" s="66"/>
      <c r="BT517" s="66"/>
      <c r="BU517" s="66"/>
      <c r="BV517" s="66"/>
      <c r="BW517" s="66"/>
      <c r="BX517" s="66"/>
      <c r="BY517" s="66"/>
      <c r="BZ517" s="66"/>
      <c r="CA517" s="66"/>
      <c r="CB517" s="66"/>
      <c r="CC517" s="66"/>
    </row>
    <row r="518" ht="21.0" customHeight="1">
      <c r="A518" s="12"/>
      <c r="B518" s="104"/>
      <c r="C518" s="104"/>
      <c r="D518" s="108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  <c r="BF518" s="66"/>
      <c r="BG518" s="66"/>
      <c r="BH518" s="66"/>
      <c r="BI518" s="66"/>
      <c r="BJ518" s="66"/>
      <c r="BK518" s="66"/>
      <c r="BL518" s="66"/>
      <c r="BM518" s="66"/>
      <c r="BN518" s="66"/>
      <c r="BO518" s="66"/>
      <c r="BP518" s="66"/>
      <c r="BQ518" s="66"/>
      <c r="BR518" s="66"/>
      <c r="BS518" s="66"/>
      <c r="BT518" s="66"/>
      <c r="BU518" s="66"/>
      <c r="BV518" s="66"/>
      <c r="BW518" s="66"/>
      <c r="BX518" s="66"/>
      <c r="BY518" s="66"/>
      <c r="BZ518" s="66"/>
      <c r="CA518" s="66"/>
      <c r="CB518" s="66"/>
      <c r="CC518" s="66"/>
    </row>
    <row r="519" ht="21.0" customHeight="1">
      <c r="A519" s="12"/>
      <c r="B519" s="104"/>
      <c r="C519" s="104"/>
      <c r="D519" s="108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6"/>
      <c r="AW519" s="66"/>
      <c r="AX519" s="66"/>
      <c r="AY519" s="66"/>
      <c r="AZ519" s="66"/>
      <c r="BA519" s="66"/>
      <c r="BB519" s="66"/>
      <c r="BC519" s="66"/>
      <c r="BD519" s="66"/>
      <c r="BE519" s="66"/>
      <c r="BF519" s="66"/>
      <c r="BG519" s="66"/>
      <c r="BH519" s="66"/>
      <c r="BI519" s="66"/>
      <c r="BJ519" s="66"/>
      <c r="BK519" s="66"/>
      <c r="BL519" s="66"/>
      <c r="BM519" s="66"/>
      <c r="BN519" s="66"/>
      <c r="BO519" s="66"/>
      <c r="BP519" s="66"/>
      <c r="BQ519" s="66"/>
      <c r="BR519" s="66"/>
      <c r="BS519" s="66"/>
      <c r="BT519" s="66"/>
      <c r="BU519" s="66"/>
      <c r="BV519" s="66"/>
      <c r="BW519" s="66"/>
      <c r="BX519" s="66"/>
      <c r="BY519" s="66"/>
      <c r="BZ519" s="66"/>
      <c r="CA519" s="66"/>
      <c r="CB519" s="66"/>
      <c r="CC519" s="66"/>
    </row>
    <row r="520" ht="21.0" customHeight="1">
      <c r="A520" s="12"/>
      <c r="B520" s="104"/>
      <c r="C520" s="104"/>
      <c r="D520" s="108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6"/>
      <c r="AW520" s="66"/>
      <c r="AX520" s="66"/>
      <c r="AY520" s="66"/>
      <c r="AZ520" s="66"/>
      <c r="BA520" s="66"/>
      <c r="BB520" s="66"/>
      <c r="BC520" s="66"/>
      <c r="BD520" s="66"/>
      <c r="BE520" s="66"/>
      <c r="BF520" s="66"/>
      <c r="BG520" s="66"/>
      <c r="BH520" s="66"/>
      <c r="BI520" s="66"/>
      <c r="BJ520" s="66"/>
      <c r="BK520" s="66"/>
      <c r="BL520" s="66"/>
      <c r="BM520" s="66"/>
      <c r="BN520" s="66"/>
      <c r="BO520" s="66"/>
      <c r="BP520" s="66"/>
      <c r="BQ520" s="66"/>
      <c r="BR520" s="66"/>
      <c r="BS520" s="66"/>
      <c r="BT520" s="66"/>
      <c r="BU520" s="66"/>
      <c r="BV520" s="66"/>
      <c r="BW520" s="66"/>
      <c r="BX520" s="66"/>
      <c r="BY520" s="66"/>
      <c r="BZ520" s="66"/>
      <c r="CA520" s="66"/>
      <c r="CB520" s="66"/>
      <c r="CC520" s="66"/>
    </row>
    <row r="521" ht="21.0" customHeight="1">
      <c r="A521" s="12"/>
      <c r="B521" s="104"/>
      <c r="C521" s="104"/>
      <c r="D521" s="108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6"/>
      <c r="AW521" s="66"/>
      <c r="AX521" s="66"/>
      <c r="AY521" s="66"/>
      <c r="AZ521" s="66"/>
      <c r="BA521" s="66"/>
      <c r="BB521" s="66"/>
      <c r="BC521" s="66"/>
      <c r="BD521" s="66"/>
      <c r="BE521" s="66"/>
      <c r="BF521" s="66"/>
      <c r="BG521" s="66"/>
      <c r="BH521" s="66"/>
      <c r="BI521" s="66"/>
      <c r="BJ521" s="66"/>
      <c r="BK521" s="66"/>
      <c r="BL521" s="66"/>
      <c r="BM521" s="66"/>
      <c r="BN521" s="66"/>
      <c r="BO521" s="66"/>
      <c r="BP521" s="66"/>
      <c r="BQ521" s="66"/>
      <c r="BR521" s="66"/>
      <c r="BS521" s="66"/>
      <c r="BT521" s="66"/>
      <c r="BU521" s="66"/>
      <c r="BV521" s="66"/>
      <c r="BW521" s="66"/>
      <c r="BX521" s="66"/>
      <c r="BY521" s="66"/>
      <c r="BZ521" s="66"/>
      <c r="CA521" s="66"/>
      <c r="CB521" s="66"/>
      <c r="CC521" s="66"/>
    </row>
    <row r="522" ht="21.0" customHeight="1">
      <c r="A522" s="12"/>
      <c r="B522" s="104"/>
      <c r="C522" s="104"/>
      <c r="D522" s="108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6"/>
      <c r="AW522" s="66"/>
      <c r="AX522" s="66"/>
      <c r="AY522" s="66"/>
      <c r="AZ522" s="66"/>
      <c r="BA522" s="66"/>
      <c r="BB522" s="66"/>
      <c r="BC522" s="66"/>
      <c r="BD522" s="66"/>
      <c r="BE522" s="66"/>
      <c r="BF522" s="66"/>
      <c r="BG522" s="66"/>
      <c r="BH522" s="66"/>
      <c r="BI522" s="66"/>
      <c r="BJ522" s="66"/>
      <c r="BK522" s="66"/>
      <c r="BL522" s="66"/>
      <c r="BM522" s="66"/>
      <c r="BN522" s="66"/>
      <c r="BO522" s="66"/>
      <c r="BP522" s="66"/>
      <c r="BQ522" s="66"/>
      <c r="BR522" s="66"/>
      <c r="BS522" s="66"/>
      <c r="BT522" s="66"/>
      <c r="BU522" s="66"/>
      <c r="BV522" s="66"/>
      <c r="BW522" s="66"/>
      <c r="BX522" s="66"/>
      <c r="BY522" s="66"/>
      <c r="BZ522" s="66"/>
      <c r="CA522" s="66"/>
      <c r="CB522" s="66"/>
      <c r="CC522" s="66"/>
    </row>
    <row r="523" ht="21.0" customHeight="1">
      <c r="A523" s="12"/>
      <c r="B523" s="104"/>
      <c r="C523" s="104"/>
      <c r="D523" s="108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6"/>
      <c r="AW523" s="66"/>
      <c r="AX523" s="66"/>
      <c r="AY523" s="66"/>
      <c r="AZ523" s="66"/>
      <c r="BA523" s="66"/>
      <c r="BB523" s="66"/>
      <c r="BC523" s="66"/>
      <c r="BD523" s="66"/>
      <c r="BE523" s="66"/>
      <c r="BF523" s="66"/>
      <c r="BG523" s="66"/>
      <c r="BH523" s="66"/>
      <c r="BI523" s="66"/>
      <c r="BJ523" s="66"/>
      <c r="BK523" s="66"/>
      <c r="BL523" s="66"/>
      <c r="BM523" s="66"/>
      <c r="BN523" s="66"/>
      <c r="BO523" s="66"/>
      <c r="BP523" s="66"/>
      <c r="BQ523" s="66"/>
      <c r="BR523" s="66"/>
      <c r="BS523" s="66"/>
      <c r="BT523" s="66"/>
      <c r="BU523" s="66"/>
      <c r="BV523" s="66"/>
      <c r="BW523" s="66"/>
      <c r="BX523" s="66"/>
      <c r="BY523" s="66"/>
      <c r="BZ523" s="66"/>
      <c r="CA523" s="66"/>
      <c r="CB523" s="66"/>
      <c r="CC523" s="66"/>
    </row>
    <row r="524" ht="21.0" customHeight="1">
      <c r="A524" s="12"/>
      <c r="B524" s="104"/>
      <c r="C524" s="104"/>
      <c r="D524" s="108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6"/>
      <c r="AW524" s="66"/>
      <c r="AX524" s="66"/>
      <c r="AY524" s="66"/>
      <c r="AZ524" s="66"/>
      <c r="BA524" s="66"/>
      <c r="BB524" s="66"/>
      <c r="BC524" s="66"/>
      <c r="BD524" s="66"/>
      <c r="BE524" s="66"/>
      <c r="BF524" s="66"/>
      <c r="BG524" s="66"/>
      <c r="BH524" s="66"/>
      <c r="BI524" s="66"/>
      <c r="BJ524" s="66"/>
      <c r="BK524" s="66"/>
      <c r="BL524" s="66"/>
      <c r="BM524" s="66"/>
      <c r="BN524" s="66"/>
      <c r="BO524" s="66"/>
      <c r="BP524" s="66"/>
      <c r="BQ524" s="66"/>
      <c r="BR524" s="66"/>
      <c r="BS524" s="66"/>
      <c r="BT524" s="66"/>
      <c r="BU524" s="66"/>
      <c r="BV524" s="66"/>
      <c r="BW524" s="66"/>
      <c r="BX524" s="66"/>
      <c r="BY524" s="66"/>
      <c r="BZ524" s="66"/>
      <c r="CA524" s="66"/>
      <c r="CB524" s="66"/>
      <c r="CC524" s="66"/>
    </row>
    <row r="525" ht="21.0" customHeight="1">
      <c r="A525" s="12"/>
      <c r="B525" s="104"/>
      <c r="C525" s="104"/>
      <c r="D525" s="108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6"/>
      <c r="BB525" s="66"/>
      <c r="BC525" s="66"/>
      <c r="BD525" s="66"/>
      <c r="BE525" s="66"/>
      <c r="BF525" s="66"/>
      <c r="BG525" s="66"/>
      <c r="BH525" s="66"/>
      <c r="BI525" s="66"/>
      <c r="BJ525" s="66"/>
      <c r="BK525" s="66"/>
      <c r="BL525" s="66"/>
      <c r="BM525" s="66"/>
      <c r="BN525" s="66"/>
      <c r="BO525" s="66"/>
      <c r="BP525" s="66"/>
      <c r="BQ525" s="66"/>
      <c r="BR525" s="66"/>
      <c r="BS525" s="66"/>
      <c r="BT525" s="66"/>
      <c r="BU525" s="66"/>
      <c r="BV525" s="66"/>
      <c r="BW525" s="66"/>
      <c r="BX525" s="66"/>
      <c r="BY525" s="66"/>
      <c r="BZ525" s="66"/>
      <c r="CA525" s="66"/>
      <c r="CB525" s="66"/>
      <c r="CC525" s="66"/>
    </row>
    <row r="526" ht="21.0" customHeight="1">
      <c r="A526" s="12"/>
      <c r="B526" s="104"/>
      <c r="C526" s="104"/>
      <c r="D526" s="108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6"/>
      <c r="AW526" s="66"/>
      <c r="AX526" s="66"/>
      <c r="AY526" s="66"/>
      <c r="AZ526" s="66"/>
      <c r="BA526" s="66"/>
      <c r="BB526" s="66"/>
      <c r="BC526" s="66"/>
      <c r="BD526" s="66"/>
      <c r="BE526" s="66"/>
      <c r="BF526" s="66"/>
      <c r="BG526" s="66"/>
      <c r="BH526" s="66"/>
      <c r="BI526" s="66"/>
      <c r="BJ526" s="66"/>
      <c r="BK526" s="66"/>
      <c r="BL526" s="66"/>
      <c r="BM526" s="66"/>
      <c r="BN526" s="66"/>
      <c r="BO526" s="66"/>
      <c r="BP526" s="66"/>
      <c r="BQ526" s="66"/>
      <c r="BR526" s="66"/>
      <c r="BS526" s="66"/>
      <c r="BT526" s="66"/>
      <c r="BU526" s="66"/>
      <c r="BV526" s="66"/>
      <c r="BW526" s="66"/>
      <c r="BX526" s="66"/>
      <c r="BY526" s="66"/>
      <c r="BZ526" s="66"/>
      <c r="CA526" s="66"/>
      <c r="CB526" s="66"/>
      <c r="CC526" s="66"/>
    </row>
    <row r="527" ht="21.0" customHeight="1">
      <c r="A527" s="12"/>
      <c r="B527" s="104"/>
      <c r="C527" s="104"/>
      <c r="D527" s="108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6"/>
      <c r="AW527" s="66"/>
      <c r="AX527" s="66"/>
      <c r="AY527" s="66"/>
      <c r="AZ527" s="66"/>
      <c r="BA527" s="66"/>
      <c r="BB527" s="66"/>
      <c r="BC527" s="66"/>
      <c r="BD527" s="66"/>
      <c r="BE527" s="66"/>
      <c r="BF527" s="66"/>
      <c r="BG527" s="66"/>
      <c r="BH527" s="66"/>
      <c r="BI527" s="66"/>
      <c r="BJ527" s="66"/>
      <c r="BK527" s="66"/>
      <c r="BL527" s="66"/>
      <c r="BM527" s="66"/>
      <c r="BN527" s="66"/>
      <c r="BO527" s="66"/>
      <c r="BP527" s="66"/>
      <c r="BQ527" s="66"/>
      <c r="BR527" s="66"/>
      <c r="BS527" s="66"/>
      <c r="BT527" s="66"/>
      <c r="BU527" s="66"/>
      <c r="BV527" s="66"/>
      <c r="BW527" s="66"/>
      <c r="BX527" s="66"/>
      <c r="BY527" s="66"/>
      <c r="BZ527" s="66"/>
      <c r="CA527" s="66"/>
      <c r="CB527" s="66"/>
      <c r="CC527" s="66"/>
    </row>
    <row r="528" ht="21.0" customHeight="1">
      <c r="A528" s="12"/>
      <c r="B528" s="104"/>
      <c r="C528" s="104"/>
      <c r="D528" s="108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66"/>
      <c r="BJ528" s="66"/>
      <c r="BK528" s="66"/>
      <c r="BL528" s="66"/>
      <c r="BM528" s="66"/>
      <c r="BN528" s="66"/>
      <c r="BO528" s="66"/>
      <c r="BP528" s="66"/>
      <c r="BQ528" s="66"/>
      <c r="BR528" s="66"/>
      <c r="BS528" s="66"/>
      <c r="BT528" s="66"/>
      <c r="BU528" s="66"/>
      <c r="BV528" s="66"/>
      <c r="BW528" s="66"/>
      <c r="BX528" s="66"/>
      <c r="BY528" s="66"/>
      <c r="BZ528" s="66"/>
      <c r="CA528" s="66"/>
      <c r="CB528" s="66"/>
      <c r="CC528" s="66"/>
    </row>
    <row r="529" ht="21.0" customHeight="1">
      <c r="A529" s="12"/>
      <c r="B529" s="104"/>
      <c r="C529" s="104"/>
      <c r="D529" s="108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6"/>
      <c r="AW529" s="66"/>
      <c r="AX529" s="66"/>
      <c r="AY529" s="66"/>
      <c r="AZ529" s="66"/>
      <c r="BA529" s="66"/>
      <c r="BB529" s="66"/>
      <c r="BC529" s="66"/>
      <c r="BD529" s="66"/>
      <c r="BE529" s="66"/>
      <c r="BF529" s="66"/>
      <c r="BG529" s="66"/>
      <c r="BH529" s="66"/>
      <c r="BI529" s="66"/>
      <c r="BJ529" s="66"/>
      <c r="BK529" s="66"/>
      <c r="BL529" s="66"/>
      <c r="BM529" s="66"/>
      <c r="BN529" s="66"/>
      <c r="BO529" s="66"/>
      <c r="BP529" s="66"/>
      <c r="BQ529" s="66"/>
      <c r="BR529" s="66"/>
      <c r="BS529" s="66"/>
      <c r="BT529" s="66"/>
      <c r="BU529" s="66"/>
      <c r="BV529" s="66"/>
      <c r="BW529" s="66"/>
      <c r="BX529" s="66"/>
      <c r="BY529" s="66"/>
      <c r="BZ529" s="66"/>
      <c r="CA529" s="66"/>
      <c r="CB529" s="66"/>
      <c r="CC529" s="66"/>
    </row>
    <row r="530" ht="21.0" customHeight="1">
      <c r="A530" s="12"/>
      <c r="B530" s="104"/>
      <c r="C530" s="104"/>
      <c r="D530" s="108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  <c r="BB530" s="66"/>
      <c r="BC530" s="66"/>
      <c r="BD530" s="66"/>
      <c r="BE530" s="66"/>
      <c r="BF530" s="66"/>
      <c r="BG530" s="66"/>
      <c r="BH530" s="66"/>
      <c r="BI530" s="66"/>
      <c r="BJ530" s="66"/>
      <c r="BK530" s="66"/>
      <c r="BL530" s="66"/>
      <c r="BM530" s="66"/>
      <c r="BN530" s="66"/>
      <c r="BO530" s="66"/>
      <c r="BP530" s="66"/>
      <c r="BQ530" s="66"/>
      <c r="BR530" s="66"/>
      <c r="BS530" s="66"/>
      <c r="BT530" s="66"/>
      <c r="BU530" s="66"/>
      <c r="BV530" s="66"/>
      <c r="BW530" s="66"/>
      <c r="BX530" s="66"/>
      <c r="BY530" s="66"/>
      <c r="BZ530" s="66"/>
      <c r="CA530" s="66"/>
      <c r="CB530" s="66"/>
      <c r="CC530" s="66"/>
    </row>
    <row r="531" ht="21.0" customHeight="1">
      <c r="A531" s="12"/>
      <c r="B531" s="104"/>
      <c r="C531" s="104"/>
      <c r="D531" s="108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  <c r="BF531" s="66"/>
      <c r="BG531" s="66"/>
      <c r="BH531" s="66"/>
      <c r="BI531" s="66"/>
      <c r="BJ531" s="66"/>
      <c r="BK531" s="66"/>
      <c r="BL531" s="66"/>
      <c r="BM531" s="66"/>
      <c r="BN531" s="66"/>
      <c r="BO531" s="66"/>
      <c r="BP531" s="66"/>
      <c r="BQ531" s="66"/>
      <c r="BR531" s="66"/>
      <c r="BS531" s="66"/>
      <c r="BT531" s="66"/>
      <c r="BU531" s="66"/>
      <c r="BV531" s="66"/>
      <c r="BW531" s="66"/>
      <c r="BX531" s="66"/>
      <c r="BY531" s="66"/>
      <c r="BZ531" s="66"/>
      <c r="CA531" s="66"/>
      <c r="CB531" s="66"/>
      <c r="CC531" s="66"/>
    </row>
    <row r="532" ht="21.0" customHeight="1">
      <c r="A532" s="12"/>
      <c r="B532" s="104"/>
      <c r="C532" s="104"/>
      <c r="D532" s="108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6"/>
      <c r="AW532" s="66"/>
      <c r="AX532" s="66"/>
      <c r="AY532" s="66"/>
      <c r="AZ532" s="66"/>
      <c r="BA532" s="66"/>
      <c r="BB532" s="66"/>
      <c r="BC532" s="66"/>
      <c r="BD532" s="66"/>
      <c r="BE532" s="66"/>
      <c r="BF532" s="66"/>
      <c r="BG532" s="66"/>
      <c r="BH532" s="66"/>
      <c r="BI532" s="66"/>
      <c r="BJ532" s="66"/>
      <c r="BK532" s="66"/>
      <c r="BL532" s="66"/>
      <c r="BM532" s="66"/>
      <c r="BN532" s="66"/>
      <c r="BO532" s="66"/>
      <c r="BP532" s="66"/>
      <c r="BQ532" s="66"/>
      <c r="BR532" s="66"/>
      <c r="BS532" s="66"/>
      <c r="BT532" s="66"/>
      <c r="BU532" s="66"/>
      <c r="BV532" s="66"/>
      <c r="BW532" s="66"/>
      <c r="BX532" s="66"/>
      <c r="BY532" s="66"/>
      <c r="BZ532" s="66"/>
      <c r="CA532" s="66"/>
      <c r="CB532" s="66"/>
      <c r="CC532" s="66"/>
    </row>
    <row r="533" ht="21.0" customHeight="1">
      <c r="A533" s="12"/>
      <c r="B533" s="104"/>
      <c r="C533" s="104"/>
      <c r="D533" s="108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6"/>
      <c r="AW533" s="66"/>
      <c r="AX533" s="66"/>
      <c r="AY533" s="66"/>
      <c r="AZ533" s="66"/>
      <c r="BA533" s="66"/>
      <c r="BB533" s="66"/>
      <c r="BC533" s="66"/>
      <c r="BD533" s="66"/>
      <c r="BE533" s="66"/>
      <c r="BF533" s="66"/>
      <c r="BG533" s="66"/>
      <c r="BH533" s="66"/>
      <c r="BI533" s="66"/>
      <c r="BJ533" s="66"/>
      <c r="BK533" s="66"/>
      <c r="BL533" s="66"/>
      <c r="BM533" s="66"/>
      <c r="BN533" s="66"/>
      <c r="BO533" s="66"/>
      <c r="BP533" s="66"/>
      <c r="BQ533" s="66"/>
      <c r="BR533" s="66"/>
      <c r="BS533" s="66"/>
      <c r="BT533" s="66"/>
      <c r="BU533" s="66"/>
      <c r="BV533" s="66"/>
      <c r="BW533" s="66"/>
      <c r="BX533" s="66"/>
      <c r="BY533" s="66"/>
      <c r="BZ533" s="66"/>
      <c r="CA533" s="66"/>
      <c r="CB533" s="66"/>
      <c r="CC533" s="66"/>
    </row>
    <row r="534" ht="21.0" customHeight="1">
      <c r="A534" s="12"/>
      <c r="B534" s="104"/>
      <c r="C534" s="104"/>
      <c r="D534" s="108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6"/>
      <c r="BB534" s="66"/>
      <c r="BC534" s="66"/>
      <c r="BD534" s="66"/>
      <c r="BE534" s="66"/>
      <c r="BF534" s="66"/>
      <c r="BG534" s="66"/>
      <c r="BH534" s="66"/>
      <c r="BI534" s="66"/>
      <c r="BJ534" s="66"/>
      <c r="BK534" s="66"/>
      <c r="BL534" s="66"/>
      <c r="BM534" s="66"/>
      <c r="BN534" s="66"/>
      <c r="BO534" s="66"/>
      <c r="BP534" s="66"/>
      <c r="BQ534" s="66"/>
      <c r="BR534" s="66"/>
      <c r="BS534" s="66"/>
      <c r="BT534" s="66"/>
      <c r="BU534" s="66"/>
      <c r="BV534" s="66"/>
      <c r="BW534" s="66"/>
      <c r="BX534" s="66"/>
      <c r="BY534" s="66"/>
      <c r="BZ534" s="66"/>
      <c r="CA534" s="66"/>
      <c r="CB534" s="66"/>
      <c r="CC534" s="66"/>
    </row>
    <row r="535" ht="21.0" customHeight="1">
      <c r="A535" s="12"/>
      <c r="B535" s="114"/>
      <c r="C535" s="114"/>
      <c r="D535" s="108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  <c r="BB535" s="66"/>
      <c r="BC535" s="66"/>
      <c r="BD535" s="66"/>
      <c r="BE535" s="66"/>
      <c r="BF535" s="66"/>
      <c r="BG535" s="66"/>
      <c r="BH535" s="66"/>
      <c r="BI535" s="66"/>
      <c r="BJ535" s="66"/>
      <c r="BK535" s="66"/>
      <c r="BL535" s="66"/>
      <c r="BM535" s="66"/>
      <c r="BN535" s="66"/>
      <c r="BO535" s="66"/>
      <c r="BP535" s="66"/>
      <c r="BQ535" s="66"/>
      <c r="BR535" s="66"/>
      <c r="BS535" s="66"/>
      <c r="BT535" s="66"/>
      <c r="BU535" s="66"/>
      <c r="BV535" s="66"/>
      <c r="BW535" s="66"/>
      <c r="BX535" s="66"/>
      <c r="BY535" s="66"/>
      <c r="BZ535" s="66"/>
      <c r="CA535" s="66"/>
      <c r="CB535" s="66"/>
      <c r="CC535" s="66"/>
    </row>
    <row r="536" ht="21.0" customHeight="1">
      <c r="A536" s="12"/>
      <c r="B536" s="103"/>
      <c r="C536" s="103"/>
      <c r="D536" s="108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6"/>
      <c r="AW536" s="66"/>
      <c r="AX536" s="66"/>
      <c r="AY536" s="66"/>
      <c r="AZ536" s="66"/>
      <c r="BA536" s="66"/>
      <c r="BB536" s="66"/>
      <c r="BC536" s="66"/>
      <c r="BD536" s="66"/>
      <c r="BE536" s="66"/>
      <c r="BF536" s="66"/>
      <c r="BG536" s="66"/>
      <c r="BH536" s="66"/>
      <c r="BI536" s="66"/>
      <c r="BJ536" s="66"/>
      <c r="BK536" s="66"/>
      <c r="BL536" s="66"/>
      <c r="BM536" s="66"/>
      <c r="BN536" s="66"/>
      <c r="BO536" s="66"/>
      <c r="BP536" s="66"/>
      <c r="BQ536" s="66"/>
      <c r="BR536" s="66"/>
      <c r="BS536" s="66"/>
      <c r="BT536" s="66"/>
      <c r="BU536" s="66"/>
      <c r="BV536" s="66"/>
      <c r="BW536" s="66"/>
      <c r="BX536" s="66"/>
      <c r="BY536" s="66"/>
      <c r="BZ536" s="66"/>
      <c r="CA536" s="66"/>
      <c r="CB536" s="66"/>
      <c r="CC536" s="66"/>
    </row>
    <row r="537" ht="21.0" customHeight="1">
      <c r="A537" s="12"/>
      <c r="B537" s="104"/>
      <c r="C537" s="104"/>
      <c r="D537" s="108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6"/>
      <c r="AW537" s="66"/>
      <c r="AX537" s="66"/>
      <c r="AY537" s="66"/>
      <c r="AZ537" s="66"/>
      <c r="BA537" s="66"/>
      <c r="BB537" s="66"/>
      <c r="BC537" s="66"/>
      <c r="BD537" s="66"/>
      <c r="BE537" s="66"/>
      <c r="BF537" s="66"/>
      <c r="BG537" s="66"/>
      <c r="BH537" s="66"/>
      <c r="BI537" s="66"/>
      <c r="BJ537" s="66"/>
      <c r="BK537" s="66"/>
      <c r="BL537" s="66"/>
      <c r="BM537" s="66"/>
      <c r="BN537" s="66"/>
      <c r="BO537" s="66"/>
      <c r="BP537" s="66"/>
      <c r="BQ537" s="66"/>
      <c r="BR537" s="66"/>
      <c r="BS537" s="66"/>
      <c r="BT537" s="66"/>
      <c r="BU537" s="66"/>
      <c r="BV537" s="66"/>
      <c r="BW537" s="66"/>
      <c r="BX537" s="66"/>
      <c r="BY537" s="66"/>
      <c r="BZ537" s="66"/>
      <c r="CA537" s="66"/>
      <c r="CB537" s="66"/>
      <c r="CC537" s="66"/>
    </row>
    <row r="538" ht="21.0" customHeight="1">
      <c r="A538" s="12"/>
      <c r="B538" s="104"/>
      <c r="C538" s="104"/>
      <c r="D538" s="108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  <c r="BF538" s="66"/>
      <c r="BG538" s="66"/>
      <c r="BH538" s="66"/>
      <c r="BI538" s="66"/>
      <c r="BJ538" s="66"/>
      <c r="BK538" s="66"/>
      <c r="BL538" s="66"/>
      <c r="BM538" s="66"/>
      <c r="BN538" s="66"/>
      <c r="BO538" s="66"/>
      <c r="BP538" s="66"/>
      <c r="BQ538" s="66"/>
      <c r="BR538" s="66"/>
      <c r="BS538" s="66"/>
      <c r="BT538" s="66"/>
      <c r="BU538" s="66"/>
      <c r="BV538" s="66"/>
      <c r="BW538" s="66"/>
      <c r="BX538" s="66"/>
      <c r="BY538" s="66"/>
      <c r="BZ538" s="66"/>
      <c r="CA538" s="66"/>
      <c r="CB538" s="66"/>
      <c r="CC538" s="66"/>
    </row>
    <row r="539" ht="21.0" customHeight="1">
      <c r="A539" s="12"/>
      <c r="B539" s="104"/>
      <c r="C539" s="104"/>
      <c r="D539" s="108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6"/>
      <c r="AW539" s="66"/>
      <c r="AX539" s="66"/>
      <c r="AY539" s="66"/>
      <c r="AZ539" s="66"/>
      <c r="BA539" s="66"/>
      <c r="BB539" s="66"/>
      <c r="BC539" s="66"/>
      <c r="BD539" s="66"/>
      <c r="BE539" s="66"/>
      <c r="BF539" s="66"/>
      <c r="BG539" s="66"/>
      <c r="BH539" s="66"/>
      <c r="BI539" s="66"/>
      <c r="BJ539" s="66"/>
      <c r="BK539" s="66"/>
      <c r="BL539" s="66"/>
      <c r="BM539" s="66"/>
      <c r="BN539" s="66"/>
      <c r="BO539" s="66"/>
      <c r="BP539" s="66"/>
      <c r="BQ539" s="66"/>
      <c r="BR539" s="66"/>
      <c r="BS539" s="66"/>
      <c r="BT539" s="66"/>
      <c r="BU539" s="66"/>
      <c r="BV539" s="66"/>
      <c r="BW539" s="66"/>
      <c r="BX539" s="66"/>
      <c r="BY539" s="66"/>
      <c r="BZ539" s="66"/>
      <c r="CA539" s="66"/>
      <c r="CB539" s="66"/>
      <c r="CC539" s="66"/>
    </row>
    <row r="540" ht="21.0" customHeight="1">
      <c r="A540" s="12"/>
      <c r="B540" s="104"/>
      <c r="C540" s="104"/>
      <c r="D540" s="108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66"/>
      <c r="AU540" s="66"/>
      <c r="AV540" s="66"/>
      <c r="AW540" s="66"/>
      <c r="AX540" s="66"/>
      <c r="AY540" s="66"/>
      <c r="AZ540" s="66"/>
      <c r="BA540" s="66"/>
      <c r="BB540" s="66"/>
      <c r="BC540" s="66"/>
      <c r="BD540" s="66"/>
      <c r="BE540" s="66"/>
      <c r="BF540" s="66"/>
      <c r="BG540" s="66"/>
      <c r="BH540" s="66"/>
      <c r="BI540" s="66"/>
      <c r="BJ540" s="66"/>
      <c r="BK540" s="66"/>
      <c r="BL540" s="66"/>
      <c r="BM540" s="66"/>
      <c r="BN540" s="66"/>
      <c r="BO540" s="66"/>
      <c r="BP540" s="66"/>
      <c r="BQ540" s="66"/>
      <c r="BR540" s="66"/>
      <c r="BS540" s="66"/>
      <c r="BT540" s="66"/>
      <c r="BU540" s="66"/>
      <c r="BV540" s="66"/>
      <c r="BW540" s="66"/>
      <c r="BX540" s="66"/>
      <c r="BY540" s="66"/>
      <c r="BZ540" s="66"/>
      <c r="CA540" s="66"/>
      <c r="CB540" s="66"/>
      <c r="CC540" s="66"/>
    </row>
    <row r="541" ht="21.0" customHeight="1">
      <c r="A541" s="12"/>
      <c r="B541" s="103"/>
      <c r="C541" s="103"/>
      <c r="D541" s="108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66"/>
      <c r="AU541" s="66"/>
      <c r="AV541" s="66"/>
      <c r="AW541" s="66"/>
      <c r="AX541" s="66"/>
      <c r="AY541" s="66"/>
      <c r="AZ541" s="66"/>
      <c r="BA541" s="66"/>
      <c r="BB541" s="66"/>
      <c r="BC541" s="66"/>
      <c r="BD541" s="66"/>
      <c r="BE541" s="66"/>
      <c r="BF541" s="66"/>
      <c r="BG541" s="66"/>
      <c r="BH541" s="66"/>
      <c r="BI541" s="66"/>
      <c r="BJ541" s="66"/>
      <c r="BK541" s="66"/>
      <c r="BL541" s="66"/>
      <c r="BM541" s="66"/>
      <c r="BN541" s="66"/>
      <c r="BO541" s="66"/>
      <c r="BP541" s="66"/>
      <c r="BQ541" s="66"/>
      <c r="BR541" s="66"/>
      <c r="BS541" s="66"/>
      <c r="BT541" s="66"/>
      <c r="BU541" s="66"/>
      <c r="BV541" s="66"/>
      <c r="BW541" s="66"/>
      <c r="BX541" s="66"/>
      <c r="BY541" s="66"/>
      <c r="BZ541" s="66"/>
      <c r="CA541" s="66"/>
      <c r="CB541" s="66"/>
      <c r="CC541" s="66"/>
    </row>
    <row r="542" ht="21.0" customHeight="1">
      <c r="A542" s="12"/>
      <c r="B542" s="104"/>
      <c r="C542" s="104"/>
      <c r="D542" s="108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6"/>
      <c r="AW542" s="66"/>
      <c r="AX542" s="66"/>
      <c r="AY542" s="66"/>
      <c r="AZ542" s="66"/>
      <c r="BA542" s="66"/>
      <c r="BB542" s="66"/>
      <c r="BC542" s="66"/>
      <c r="BD542" s="66"/>
      <c r="BE542" s="66"/>
      <c r="BF542" s="66"/>
      <c r="BG542" s="66"/>
      <c r="BH542" s="66"/>
      <c r="BI542" s="66"/>
      <c r="BJ542" s="66"/>
      <c r="BK542" s="66"/>
      <c r="BL542" s="66"/>
      <c r="BM542" s="66"/>
      <c r="BN542" s="66"/>
      <c r="BO542" s="66"/>
      <c r="BP542" s="66"/>
      <c r="BQ542" s="66"/>
      <c r="BR542" s="66"/>
      <c r="BS542" s="66"/>
      <c r="BT542" s="66"/>
      <c r="BU542" s="66"/>
      <c r="BV542" s="66"/>
      <c r="BW542" s="66"/>
      <c r="BX542" s="66"/>
      <c r="BY542" s="66"/>
      <c r="BZ542" s="66"/>
      <c r="CA542" s="66"/>
      <c r="CB542" s="66"/>
      <c r="CC542" s="66"/>
    </row>
    <row r="543" ht="21.0" customHeight="1">
      <c r="A543" s="12"/>
      <c r="B543" s="104"/>
      <c r="C543" s="104"/>
      <c r="D543" s="108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6"/>
      <c r="BB543" s="66"/>
      <c r="BC543" s="66"/>
      <c r="BD543" s="66"/>
      <c r="BE543" s="66"/>
      <c r="BF543" s="66"/>
      <c r="BG543" s="66"/>
      <c r="BH543" s="66"/>
      <c r="BI543" s="66"/>
      <c r="BJ543" s="66"/>
      <c r="BK543" s="66"/>
      <c r="BL543" s="66"/>
      <c r="BM543" s="66"/>
      <c r="BN543" s="66"/>
      <c r="BO543" s="66"/>
      <c r="BP543" s="66"/>
      <c r="BQ543" s="66"/>
      <c r="BR543" s="66"/>
      <c r="BS543" s="66"/>
      <c r="BT543" s="66"/>
      <c r="BU543" s="66"/>
      <c r="BV543" s="66"/>
      <c r="BW543" s="66"/>
      <c r="BX543" s="66"/>
      <c r="BY543" s="66"/>
      <c r="BZ543" s="66"/>
      <c r="CA543" s="66"/>
      <c r="CB543" s="66"/>
      <c r="CC543" s="66"/>
    </row>
    <row r="544" ht="21.0" customHeight="1">
      <c r="A544" s="12"/>
      <c r="B544" s="104"/>
      <c r="C544" s="104"/>
      <c r="D544" s="108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6"/>
      <c r="AW544" s="66"/>
      <c r="AX544" s="66"/>
      <c r="AY544" s="66"/>
      <c r="AZ544" s="66"/>
      <c r="BA544" s="66"/>
      <c r="BB544" s="66"/>
      <c r="BC544" s="66"/>
      <c r="BD544" s="66"/>
      <c r="BE544" s="66"/>
      <c r="BF544" s="66"/>
      <c r="BG544" s="66"/>
      <c r="BH544" s="66"/>
      <c r="BI544" s="66"/>
      <c r="BJ544" s="66"/>
      <c r="BK544" s="66"/>
      <c r="BL544" s="66"/>
      <c r="BM544" s="66"/>
      <c r="BN544" s="66"/>
      <c r="BO544" s="66"/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6"/>
      <c r="CA544" s="66"/>
      <c r="CB544" s="66"/>
      <c r="CC544" s="66"/>
    </row>
    <row r="545" ht="21.0" customHeight="1">
      <c r="A545" s="12"/>
      <c r="B545" s="104"/>
      <c r="C545" s="104"/>
      <c r="D545" s="108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6"/>
      <c r="AW545" s="66"/>
      <c r="AX545" s="66"/>
      <c r="AY545" s="66"/>
      <c r="AZ545" s="66"/>
      <c r="BA545" s="66"/>
      <c r="BB545" s="66"/>
      <c r="BC545" s="66"/>
      <c r="BD545" s="66"/>
      <c r="BE545" s="66"/>
      <c r="BF545" s="66"/>
      <c r="BG545" s="66"/>
      <c r="BH545" s="66"/>
      <c r="BI545" s="66"/>
      <c r="BJ545" s="66"/>
      <c r="BK545" s="66"/>
      <c r="BL545" s="66"/>
      <c r="BM545" s="66"/>
      <c r="BN545" s="66"/>
      <c r="BO545" s="66"/>
      <c r="BP545" s="66"/>
      <c r="BQ545" s="66"/>
      <c r="BR545" s="66"/>
      <c r="BS545" s="66"/>
      <c r="BT545" s="66"/>
      <c r="BU545" s="66"/>
      <c r="BV545" s="66"/>
      <c r="BW545" s="66"/>
      <c r="BX545" s="66"/>
      <c r="BY545" s="66"/>
      <c r="BZ545" s="66"/>
      <c r="CA545" s="66"/>
      <c r="CB545" s="66"/>
      <c r="CC545" s="66"/>
    </row>
    <row r="546" ht="21.0" customHeight="1">
      <c r="A546" s="12"/>
      <c r="B546" s="104"/>
      <c r="C546" s="104"/>
      <c r="D546" s="108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6"/>
      <c r="AW546" s="66"/>
      <c r="AX546" s="66"/>
      <c r="AY546" s="66"/>
      <c r="AZ546" s="66"/>
      <c r="BA546" s="66"/>
      <c r="BB546" s="66"/>
      <c r="BC546" s="66"/>
      <c r="BD546" s="66"/>
      <c r="BE546" s="66"/>
      <c r="BF546" s="66"/>
      <c r="BG546" s="66"/>
      <c r="BH546" s="66"/>
      <c r="BI546" s="66"/>
      <c r="BJ546" s="66"/>
      <c r="BK546" s="66"/>
      <c r="BL546" s="66"/>
      <c r="BM546" s="66"/>
      <c r="BN546" s="66"/>
      <c r="BO546" s="66"/>
      <c r="BP546" s="66"/>
      <c r="BQ546" s="66"/>
      <c r="BR546" s="66"/>
      <c r="BS546" s="66"/>
      <c r="BT546" s="66"/>
      <c r="BU546" s="66"/>
      <c r="BV546" s="66"/>
      <c r="BW546" s="66"/>
      <c r="BX546" s="66"/>
      <c r="BY546" s="66"/>
      <c r="BZ546" s="66"/>
      <c r="CA546" s="66"/>
      <c r="CB546" s="66"/>
      <c r="CC546" s="66"/>
    </row>
    <row r="547" ht="21.0" customHeight="1">
      <c r="A547" s="12"/>
      <c r="B547" s="114"/>
      <c r="C547" s="114"/>
      <c r="D547" s="108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66"/>
      <c r="AU547" s="66"/>
      <c r="AV547" s="66"/>
      <c r="AW547" s="66"/>
      <c r="AX547" s="66"/>
      <c r="AY547" s="66"/>
      <c r="AZ547" s="66"/>
      <c r="BA547" s="66"/>
      <c r="BB547" s="66"/>
      <c r="BC547" s="66"/>
      <c r="BD547" s="66"/>
      <c r="BE547" s="66"/>
      <c r="BF547" s="66"/>
      <c r="BG547" s="66"/>
      <c r="BH547" s="66"/>
      <c r="BI547" s="66"/>
      <c r="BJ547" s="66"/>
      <c r="BK547" s="66"/>
      <c r="BL547" s="66"/>
      <c r="BM547" s="66"/>
      <c r="BN547" s="66"/>
      <c r="BO547" s="66"/>
      <c r="BP547" s="66"/>
      <c r="BQ547" s="66"/>
      <c r="BR547" s="66"/>
      <c r="BS547" s="66"/>
      <c r="BT547" s="66"/>
      <c r="BU547" s="66"/>
      <c r="BV547" s="66"/>
      <c r="BW547" s="66"/>
      <c r="BX547" s="66"/>
      <c r="BY547" s="66"/>
      <c r="BZ547" s="66"/>
      <c r="CA547" s="66"/>
      <c r="CB547" s="66"/>
      <c r="CC547" s="66"/>
    </row>
    <row r="548" ht="21.0" customHeight="1">
      <c r="A548" s="12"/>
      <c r="B548" s="114"/>
      <c r="C548" s="114"/>
      <c r="D548" s="108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6"/>
      <c r="AW548" s="66"/>
      <c r="AX548" s="66"/>
      <c r="AY548" s="66"/>
      <c r="AZ548" s="66"/>
      <c r="BA548" s="66"/>
      <c r="BB548" s="66"/>
      <c r="BC548" s="66"/>
      <c r="BD548" s="66"/>
      <c r="BE548" s="66"/>
      <c r="BF548" s="66"/>
      <c r="BG548" s="66"/>
      <c r="BH548" s="66"/>
      <c r="BI548" s="66"/>
      <c r="BJ548" s="66"/>
      <c r="BK548" s="66"/>
      <c r="BL548" s="66"/>
      <c r="BM548" s="66"/>
      <c r="BN548" s="66"/>
      <c r="BO548" s="66"/>
      <c r="BP548" s="66"/>
      <c r="BQ548" s="66"/>
      <c r="BR548" s="66"/>
      <c r="BS548" s="66"/>
      <c r="BT548" s="66"/>
      <c r="BU548" s="66"/>
      <c r="BV548" s="66"/>
      <c r="BW548" s="66"/>
      <c r="BX548" s="66"/>
      <c r="BY548" s="66"/>
      <c r="BZ548" s="66"/>
      <c r="CA548" s="66"/>
      <c r="CB548" s="66"/>
      <c r="CC548" s="66"/>
    </row>
    <row r="549" ht="21.0" customHeight="1">
      <c r="A549" s="12"/>
      <c r="B549" s="114"/>
      <c r="C549" s="114"/>
      <c r="D549" s="108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66"/>
      <c r="AU549" s="66"/>
      <c r="AV549" s="66"/>
      <c r="AW549" s="66"/>
      <c r="AX549" s="66"/>
      <c r="AY549" s="66"/>
      <c r="AZ549" s="66"/>
      <c r="BA549" s="66"/>
      <c r="BB549" s="66"/>
      <c r="BC549" s="66"/>
      <c r="BD549" s="66"/>
      <c r="BE549" s="66"/>
      <c r="BF549" s="66"/>
      <c r="BG549" s="66"/>
      <c r="BH549" s="66"/>
      <c r="BI549" s="66"/>
      <c r="BJ549" s="66"/>
      <c r="BK549" s="66"/>
      <c r="BL549" s="66"/>
      <c r="BM549" s="66"/>
      <c r="BN549" s="66"/>
      <c r="BO549" s="66"/>
      <c r="BP549" s="66"/>
      <c r="BQ549" s="66"/>
      <c r="BR549" s="66"/>
      <c r="BS549" s="66"/>
      <c r="BT549" s="66"/>
      <c r="BU549" s="66"/>
      <c r="BV549" s="66"/>
      <c r="BW549" s="66"/>
      <c r="BX549" s="66"/>
      <c r="BY549" s="66"/>
      <c r="BZ549" s="66"/>
      <c r="CA549" s="66"/>
      <c r="CB549" s="66"/>
      <c r="CC549" s="66"/>
    </row>
    <row r="550" ht="21.0" customHeight="1">
      <c r="A550" s="12"/>
      <c r="B550" s="114"/>
      <c r="C550" s="114"/>
      <c r="D550" s="108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66"/>
      <c r="AU550" s="66"/>
      <c r="AV550" s="66"/>
      <c r="AW550" s="66"/>
      <c r="AX550" s="66"/>
      <c r="AY550" s="66"/>
      <c r="AZ550" s="66"/>
      <c r="BA550" s="66"/>
      <c r="BB550" s="66"/>
      <c r="BC550" s="66"/>
      <c r="BD550" s="66"/>
      <c r="BE550" s="66"/>
      <c r="BF550" s="66"/>
      <c r="BG550" s="66"/>
      <c r="BH550" s="66"/>
      <c r="BI550" s="66"/>
      <c r="BJ550" s="66"/>
      <c r="BK550" s="66"/>
      <c r="BL550" s="66"/>
      <c r="BM550" s="66"/>
      <c r="BN550" s="66"/>
      <c r="BO550" s="66"/>
      <c r="BP550" s="66"/>
      <c r="BQ550" s="66"/>
      <c r="BR550" s="66"/>
      <c r="BS550" s="66"/>
      <c r="BT550" s="66"/>
      <c r="BU550" s="66"/>
      <c r="BV550" s="66"/>
      <c r="BW550" s="66"/>
      <c r="BX550" s="66"/>
      <c r="BY550" s="66"/>
      <c r="BZ550" s="66"/>
      <c r="CA550" s="66"/>
      <c r="CB550" s="66"/>
      <c r="CC550" s="66"/>
    </row>
    <row r="551" ht="21.0" customHeight="1">
      <c r="A551" s="12"/>
      <c r="B551" s="114"/>
      <c r="C551" s="114"/>
      <c r="D551" s="108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66"/>
      <c r="AU551" s="66"/>
      <c r="AV551" s="66"/>
      <c r="AW551" s="66"/>
      <c r="AX551" s="66"/>
      <c r="AY551" s="66"/>
      <c r="AZ551" s="66"/>
      <c r="BA551" s="66"/>
      <c r="BB551" s="66"/>
      <c r="BC551" s="66"/>
      <c r="BD551" s="66"/>
      <c r="BE551" s="66"/>
      <c r="BF551" s="66"/>
      <c r="BG551" s="66"/>
      <c r="BH551" s="66"/>
      <c r="BI551" s="66"/>
      <c r="BJ551" s="66"/>
      <c r="BK551" s="66"/>
      <c r="BL551" s="66"/>
      <c r="BM551" s="66"/>
      <c r="BN551" s="66"/>
      <c r="BO551" s="66"/>
      <c r="BP551" s="66"/>
      <c r="BQ551" s="66"/>
      <c r="BR551" s="66"/>
      <c r="BS551" s="66"/>
      <c r="BT551" s="66"/>
      <c r="BU551" s="66"/>
      <c r="BV551" s="66"/>
      <c r="BW551" s="66"/>
      <c r="BX551" s="66"/>
      <c r="BY551" s="66"/>
      <c r="BZ551" s="66"/>
      <c r="CA551" s="66"/>
      <c r="CB551" s="66"/>
      <c r="CC551" s="66"/>
    </row>
    <row r="552" ht="21.0" customHeight="1">
      <c r="A552" s="12"/>
      <c r="B552" s="114"/>
      <c r="C552" s="114"/>
      <c r="D552" s="108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66"/>
      <c r="AU552" s="66"/>
      <c r="AV552" s="66"/>
      <c r="AW552" s="66"/>
      <c r="AX552" s="66"/>
      <c r="AY552" s="66"/>
      <c r="AZ552" s="66"/>
      <c r="BA552" s="66"/>
      <c r="BB552" s="66"/>
      <c r="BC552" s="66"/>
      <c r="BD552" s="66"/>
      <c r="BE552" s="66"/>
      <c r="BF552" s="66"/>
      <c r="BG552" s="66"/>
      <c r="BH552" s="66"/>
      <c r="BI552" s="66"/>
      <c r="BJ552" s="66"/>
      <c r="BK552" s="66"/>
      <c r="BL552" s="66"/>
      <c r="BM552" s="66"/>
      <c r="BN552" s="66"/>
      <c r="BO552" s="66"/>
      <c r="BP552" s="66"/>
      <c r="BQ552" s="66"/>
      <c r="BR552" s="66"/>
      <c r="BS552" s="66"/>
      <c r="BT552" s="66"/>
      <c r="BU552" s="66"/>
      <c r="BV552" s="66"/>
      <c r="BW552" s="66"/>
      <c r="BX552" s="66"/>
      <c r="BY552" s="66"/>
      <c r="BZ552" s="66"/>
      <c r="CA552" s="66"/>
      <c r="CB552" s="66"/>
      <c r="CC552" s="66"/>
    </row>
    <row r="553" ht="21.0" customHeight="1">
      <c r="A553" s="12"/>
      <c r="B553" s="114"/>
      <c r="C553" s="114"/>
      <c r="D553" s="108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66"/>
      <c r="AU553" s="66"/>
      <c r="AV553" s="66"/>
      <c r="AW553" s="66"/>
      <c r="AX553" s="66"/>
      <c r="AY553" s="66"/>
      <c r="AZ553" s="66"/>
      <c r="BA553" s="66"/>
      <c r="BB553" s="66"/>
      <c r="BC553" s="66"/>
      <c r="BD553" s="66"/>
      <c r="BE553" s="66"/>
      <c r="BF553" s="66"/>
      <c r="BG553" s="66"/>
      <c r="BH553" s="66"/>
      <c r="BI553" s="66"/>
      <c r="BJ553" s="66"/>
      <c r="BK553" s="66"/>
      <c r="BL553" s="66"/>
      <c r="BM553" s="66"/>
      <c r="BN553" s="66"/>
      <c r="BO553" s="66"/>
      <c r="BP553" s="66"/>
      <c r="BQ553" s="66"/>
      <c r="BR553" s="66"/>
      <c r="BS553" s="66"/>
      <c r="BT553" s="66"/>
      <c r="BU553" s="66"/>
      <c r="BV553" s="66"/>
      <c r="BW553" s="66"/>
      <c r="BX553" s="66"/>
      <c r="BY553" s="66"/>
      <c r="BZ553" s="66"/>
      <c r="CA553" s="66"/>
      <c r="CB553" s="66"/>
      <c r="CC553" s="66"/>
    </row>
    <row r="554" ht="21.0" customHeight="1">
      <c r="A554" s="12"/>
      <c r="B554" s="114"/>
      <c r="C554" s="114"/>
      <c r="D554" s="108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6"/>
      <c r="AW554" s="66"/>
      <c r="AX554" s="66"/>
      <c r="AY554" s="66"/>
      <c r="AZ554" s="66"/>
      <c r="BA554" s="66"/>
      <c r="BB554" s="66"/>
      <c r="BC554" s="66"/>
      <c r="BD554" s="66"/>
      <c r="BE554" s="66"/>
      <c r="BF554" s="66"/>
      <c r="BG554" s="66"/>
      <c r="BH554" s="66"/>
      <c r="BI554" s="66"/>
      <c r="BJ554" s="66"/>
      <c r="BK554" s="66"/>
      <c r="BL554" s="66"/>
      <c r="BM554" s="66"/>
      <c r="BN554" s="66"/>
      <c r="BO554" s="66"/>
      <c r="BP554" s="66"/>
      <c r="BQ554" s="66"/>
      <c r="BR554" s="66"/>
      <c r="BS554" s="66"/>
      <c r="BT554" s="66"/>
      <c r="BU554" s="66"/>
      <c r="BV554" s="66"/>
      <c r="BW554" s="66"/>
      <c r="BX554" s="66"/>
      <c r="BY554" s="66"/>
      <c r="BZ554" s="66"/>
      <c r="CA554" s="66"/>
      <c r="CB554" s="66"/>
      <c r="CC554" s="66"/>
    </row>
    <row r="555" ht="21.0" customHeight="1">
      <c r="A555" s="12"/>
      <c r="B555" s="114"/>
      <c r="C555" s="114"/>
      <c r="D555" s="108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6"/>
      <c r="AX555" s="66"/>
      <c r="AY555" s="66"/>
      <c r="AZ555" s="66"/>
      <c r="BA555" s="66"/>
      <c r="BB555" s="66"/>
      <c r="BC555" s="66"/>
      <c r="BD555" s="66"/>
      <c r="BE555" s="66"/>
      <c r="BF555" s="66"/>
      <c r="BG555" s="66"/>
      <c r="BH555" s="66"/>
      <c r="BI555" s="66"/>
      <c r="BJ555" s="66"/>
      <c r="BK555" s="66"/>
      <c r="BL555" s="66"/>
      <c r="BM555" s="66"/>
      <c r="BN555" s="66"/>
      <c r="BO555" s="66"/>
      <c r="BP555" s="66"/>
      <c r="BQ555" s="66"/>
      <c r="BR555" s="66"/>
      <c r="BS555" s="66"/>
      <c r="BT555" s="66"/>
      <c r="BU555" s="66"/>
      <c r="BV555" s="66"/>
      <c r="BW555" s="66"/>
      <c r="BX555" s="66"/>
      <c r="BY555" s="66"/>
      <c r="BZ555" s="66"/>
      <c r="CA555" s="66"/>
      <c r="CB555" s="66"/>
      <c r="CC555" s="66"/>
    </row>
    <row r="556" ht="21.0" customHeight="1">
      <c r="A556" s="12"/>
      <c r="B556" s="114"/>
      <c r="C556" s="114"/>
      <c r="D556" s="108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66"/>
      <c r="AX556" s="66"/>
      <c r="AY556" s="66"/>
      <c r="AZ556" s="66"/>
      <c r="BA556" s="66"/>
      <c r="BB556" s="66"/>
      <c r="BC556" s="66"/>
      <c r="BD556" s="66"/>
      <c r="BE556" s="66"/>
      <c r="BF556" s="66"/>
      <c r="BG556" s="66"/>
      <c r="BH556" s="66"/>
      <c r="BI556" s="66"/>
      <c r="BJ556" s="66"/>
      <c r="BK556" s="66"/>
      <c r="BL556" s="66"/>
      <c r="BM556" s="66"/>
      <c r="BN556" s="66"/>
      <c r="BO556" s="66"/>
      <c r="BP556" s="66"/>
      <c r="BQ556" s="66"/>
      <c r="BR556" s="66"/>
      <c r="BS556" s="66"/>
      <c r="BT556" s="66"/>
      <c r="BU556" s="66"/>
      <c r="BV556" s="66"/>
      <c r="BW556" s="66"/>
      <c r="BX556" s="66"/>
      <c r="BY556" s="66"/>
      <c r="BZ556" s="66"/>
      <c r="CA556" s="66"/>
      <c r="CB556" s="66"/>
      <c r="CC556" s="66"/>
    </row>
    <row r="557" ht="21.0" customHeight="1">
      <c r="A557" s="12"/>
      <c r="B557" s="114"/>
      <c r="C557" s="114"/>
      <c r="D557" s="108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66"/>
      <c r="AX557" s="66"/>
      <c r="AY557" s="66"/>
      <c r="AZ557" s="66"/>
      <c r="BA557" s="66"/>
      <c r="BB557" s="66"/>
      <c r="BC557" s="66"/>
      <c r="BD557" s="66"/>
      <c r="BE557" s="66"/>
      <c r="BF557" s="66"/>
      <c r="BG557" s="66"/>
      <c r="BH557" s="66"/>
      <c r="BI557" s="66"/>
      <c r="BJ557" s="66"/>
      <c r="BK557" s="66"/>
      <c r="BL557" s="66"/>
      <c r="BM557" s="66"/>
      <c r="BN557" s="66"/>
      <c r="BO557" s="66"/>
      <c r="BP557" s="66"/>
      <c r="BQ557" s="66"/>
      <c r="BR557" s="66"/>
      <c r="BS557" s="66"/>
      <c r="BT557" s="66"/>
      <c r="BU557" s="66"/>
      <c r="BV557" s="66"/>
      <c r="BW557" s="66"/>
      <c r="BX557" s="66"/>
      <c r="BY557" s="66"/>
      <c r="BZ557" s="66"/>
      <c r="CA557" s="66"/>
      <c r="CB557" s="66"/>
      <c r="CC557" s="66"/>
    </row>
    <row r="558" ht="21.0" customHeight="1">
      <c r="A558" s="12"/>
      <c r="B558" s="114"/>
      <c r="C558" s="114"/>
      <c r="D558" s="108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6"/>
      <c r="AW558" s="66"/>
      <c r="AX558" s="66"/>
      <c r="AY558" s="66"/>
      <c r="AZ558" s="66"/>
      <c r="BA558" s="66"/>
      <c r="BB558" s="66"/>
      <c r="BC558" s="66"/>
      <c r="BD558" s="66"/>
      <c r="BE558" s="66"/>
      <c r="BF558" s="66"/>
      <c r="BG558" s="66"/>
      <c r="BH558" s="66"/>
      <c r="BI558" s="66"/>
      <c r="BJ558" s="66"/>
      <c r="BK558" s="66"/>
      <c r="BL558" s="66"/>
      <c r="BM558" s="66"/>
      <c r="BN558" s="66"/>
      <c r="BO558" s="66"/>
      <c r="BP558" s="66"/>
      <c r="BQ558" s="66"/>
      <c r="BR558" s="66"/>
      <c r="BS558" s="66"/>
      <c r="BT558" s="66"/>
      <c r="BU558" s="66"/>
      <c r="BV558" s="66"/>
      <c r="BW558" s="66"/>
      <c r="BX558" s="66"/>
      <c r="BY558" s="66"/>
      <c r="BZ558" s="66"/>
      <c r="CA558" s="66"/>
      <c r="CB558" s="66"/>
      <c r="CC558" s="66"/>
    </row>
    <row r="559" ht="21.0" customHeight="1">
      <c r="A559" s="12"/>
      <c r="B559" s="114"/>
      <c r="C559" s="114"/>
      <c r="D559" s="108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6"/>
      <c r="AW559" s="66"/>
      <c r="AX559" s="66"/>
      <c r="AY559" s="66"/>
      <c r="AZ559" s="66"/>
      <c r="BA559" s="66"/>
      <c r="BB559" s="66"/>
      <c r="BC559" s="66"/>
      <c r="BD559" s="66"/>
      <c r="BE559" s="66"/>
      <c r="BF559" s="66"/>
      <c r="BG559" s="66"/>
      <c r="BH559" s="66"/>
      <c r="BI559" s="66"/>
      <c r="BJ559" s="66"/>
      <c r="BK559" s="66"/>
      <c r="BL559" s="66"/>
      <c r="BM559" s="66"/>
      <c r="BN559" s="66"/>
      <c r="BO559" s="66"/>
      <c r="BP559" s="66"/>
      <c r="BQ559" s="66"/>
      <c r="BR559" s="66"/>
      <c r="BS559" s="66"/>
      <c r="BT559" s="66"/>
      <c r="BU559" s="66"/>
      <c r="BV559" s="66"/>
      <c r="BW559" s="66"/>
      <c r="BX559" s="66"/>
      <c r="BY559" s="66"/>
      <c r="BZ559" s="66"/>
      <c r="CA559" s="66"/>
      <c r="CB559" s="66"/>
      <c r="CC559" s="66"/>
    </row>
    <row r="560" ht="21.0" customHeight="1">
      <c r="A560" s="12"/>
      <c r="B560" s="114"/>
      <c r="C560" s="114"/>
      <c r="D560" s="108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66"/>
      <c r="AX560" s="66"/>
      <c r="AY560" s="66"/>
      <c r="AZ560" s="66"/>
      <c r="BA560" s="66"/>
      <c r="BB560" s="66"/>
      <c r="BC560" s="66"/>
      <c r="BD560" s="66"/>
      <c r="BE560" s="66"/>
      <c r="BF560" s="66"/>
      <c r="BG560" s="66"/>
      <c r="BH560" s="66"/>
      <c r="BI560" s="66"/>
      <c r="BJ560" s="66"/>
      <c r="BK560" s="66"/>
      <c r="BL560" s="66"/>
      <c r="BM560" s="66"/>
      <c r="BN560" s="66"/>
      <c r="BO560" s="66"/>
      <c r="BP560" s="66"/>
      <c r="BQ560" s="66"/>
      <c r="BR560" s="66"/>
      <c r="BS560" s="66"/>
      <c r="BT560" s="66"/>
      <c r="BU560" s="66"/>
      <c r="BV560" s="66"/>
      <c r="BW560" s="66"/>
      <c r="BX560" s="66"/>
      <c r="BY560" s="66"/>
      <c r="BZ560" s="66"/>
      <c r="CA560" s="66"/>
      <c r="CB560" s="66"/>
      <c r="CC560" s="66"/>
    </row>
    <row r="561" ht="21.0" customHeight="1">
      <c r="A561" s="12"/>
      <c r="B561" s="114"/>
      <c r="C561" s="114"/>
      <c r="D561" s="108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6"/>
      <c r="BB561" s="66"/>
      <c r="BC561" s="66"/>
      <c r="BD561" s="66"/>
      <c r="BE561" s="66"/>
      <c r="BF561" s="66"/>
      <c r="BG561" s="66"/>
      <c r="BH561" s="66"/>
      <c r="BI561" s="66"/>
      <c r="BJ561" s="66"/>
      <c r="BK561" s="66"/>
      <c r="BL561" s="66"/>
      <c r="BM561" s="66"/>
      <c r="BN561" s="66"/>
      <c r="BO561" s="66"/>
      <c r="BP561" s="66"/>
      <c r="BQ561" s="66"/>
      <c r="BR561" s="66"/>
      <c r="BS561" s="66"/>
      <c r="BT561" s="66"/>
      <c r="BU561" s="66"/>
      <c r="BV561" s="66"/>
      <c r="BW561" s="66"/>
      <c r="BX561" s="66"/>
      <c r="BY561" s="66"/>
      <c r="BZ561" s="66"/>
      <c r="CA561" s="66"/>
      <c r="CB561" s="66"/>
      <c r="CC561" s="66"/>
    </row>
    <row r="562" ht="21.0" customHeight="1">
      <c r="A562" s="12"/>
      <c r="B562" s="114"/>
      <c r="C562" s="114"/>
      <c r="D562" s="108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66"/>
      <c r="AX562" s="66"/>
      <c r="AY562" s="66"/>
      <c r="AZ562" s="66"/>
      <c r="BA562" s="66"/>
      <c r="BB562" s="66"/>
      <c r="BC562" s="66"/>
      <c r="BD562" s="66"/>
      <c r="BE562" s="66"/>
      <c r="BF562" s="66"/>
      <c r="BG562" s="66"/>
      <c r="BH562" s="66"/>
      <c r="BI562" s="66"/>
      <c r="BJ562" s="66"/>
      <c r="BK562" s="66"/>
      <c r="BL562" s="66"/>
      <c r="BM562" s="66"/>
      <c r="BN562" s="66"/>
      <c r="BO562" s="66"/>
      <c r="BP562" s="66"/>
      <c r="BQ562" s="66"/>
      <c r="BR562" s="66"/>
      <c r="BS562" s="66"/>
      <c r="BT562" s="66"/>
      <c r="BU562" s="66"/>
      <c r="BV562" s="66"/>
      <c r="BW562" s="66"/>
      <c r="BX562" s="66"/>
      <c r="BY562" s="66"/>
      <c r="BZ562" s="66"/>
      <c r="CA562" s="66"/>
      <c r="CB562" s="66"/>
      <c r="CC562" s="66"/>
    </row>
    <row r="563" ht="21.0" customHeight="1">
      <c r="A563" s="12"/>
      <c r="B563" s="114"/>
      <c r="C563" s="114"/>
      <c r="D563" s="108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66"/>
      <c r="AX563" s="66"/>
      <c r="AY563" s="66"/>
      <c r="AZ563" s="66"/>
      <c r="BA563" s="66"/>
      <c r="BB563" s="66"/>
      <c r="BC563" s="66"/>
      <c r="BD563" s="66"/>
      <c r="BE563" s="66"/>
      <c r="BF563" s="66"/>
      <c r="BG563" s="66"/>
      <c r="BH563" s="66"/>
      <c r="BI563" s="66"/>
      <c r="BJ563" s="66"/>
      <c r="BK563" s="66"/>
      <c r="BL563" s="66"/>
      <c r="BM563" s="66"/>
      <c r="BN563" s="66"/>
      <c r="BO563" s="66"/>
      <c r="BP563" s="66"/>
      <c r="BQ563" s="66"/>
      <c r="BR563" s="66"/>
      <c r="BS563" s="66"/>
      <c r="BT563" s="66"/>
      <c r="BU563" s="66"/>
      <c r="BV563" s="66"/>
      <c r="BW563" s="66"/>
      <c r="BX563" s="66"/>
      <c r="BY563" s="66"/>
      <c r="BZ563" s="66"/>
      <c r="CA563" s="66"/>
      <c r="CB563" s="66"/>
      <c r="CC563" s="66"/>
    </row>
    <row r="564" ht="21.0" customHeight="1">
      <c r="A564" s="12"/>
      <c r="B564" s="115"/>
      <c r="C564" s="114"/>
      <c r="D564" s="108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66"/>
      <c r="AX564" s="66"/>
      <c r="AY564" s="66"/>
      <c r="AZ564" s="66"/>
      <c r="BA564" s="66"/>
      <c r="BB564" s="66"/>
      <c r="BC564" s="66"/>
      <c r="BD564" s="66"/>
      <c r="BE564" s="66"/>
      <c r="BF564" s="66"/>
      <c r="BG564" s="66"/>
      <c r="BH564" s="66"/>
      <c r="BI564" s="66"/>
      <c r="BJ564" s="66"/>
      <c r="BK564" s="66"/>
      <c r="BL564" s="66"/>
      <c r="BM564" s="66"/>
      <c r="BN564" s="66"/>
      <c r="BO564" s="66"/>
      <c r="BP564" s="66"/>
      <c r="BQ564" s="66"/>
      <c r="BR564" s="66"/>
      <c r="BS564" s="66"/>
      <c r="BT564" s="66"/>
      <c r="BU564" s="66"/>
      <c r="BV564" s="66"/>
      <c r="BW564" s="66"/>
      <c r="BX564" s="66"/>
      <c r="BY564" s="66"/>
      <c r="BZ564" s="66"/>
      <c r="CA564" s="66"/>
      <c r="CB564" s="66"/>
      <c r="CC564" s="66"/>
    </row>
    <row r="565" ht="21.0" customHeight="1">
      <c r="A565" s="12"/>
      <c r="B565" s="115"/>
      <c r="C565" s="114"/>
      <c r="D565" s="108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66"/>
      <c r="AX565" s="66"/>
      <c r="AY565" s="66"/>
      <c r="AZ565" s="66"/>
      <c r="BA565" s="66"/>
      <c r="BB565" s="66"/>
      <c r="BC565" s="66"/>
      <c r="BD565" s="66"/>
      <c r="BE565" s="66"/>
      <c r="BF565" s="66"/>
      <c r="BG565" s="66"/>
      <c r="BH565" s="66"/>
      <c r="BI565" s="66"/>
      <c r="BJ565" s="66"/>
      <c r="BK565" s="66"/>
      <c r="BL565" s="66"/>
      <c r="BM565" s="66"/>
      <c r="BN565" s="66"/>
      <c r="BO565" s="66"/>
      <c r="BP565" s="66"/>
      <c r="BQ565" s="66"/>
      <c r="BR565" s="66"/>
      <c r="BS565" s="66"/>
      <c r="BT565" s="66"/>
      <c r="BU565" s="66"/>
      <c r="BV565" s="66"/>
      <c r="BW565" s="66"/>
      <c r="BX565" s="66"/>
      <c r="BY565" s="66"/>
      <c r="BZ565" s="66"/>
      <c r="CA565" s="66"/>
      <c r="CB565" s="66"/>
      <c r="CC565" s="66"/>
    </row>
    <row r="566" ht="21.0" customHeight="1">
      <c r="A566" s="12"/>
      <c r="B566" s="115"/>
      <c r="C566" s="114"/>
      <c r="D566" s="108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66"/>
      <c r="AX566" s="66"/>
      <c r="AY566" s="66"/>
      <c r="AZ566" s="66"/>
      <c r="BA566" s="66"/>
      <c r="BB566" s="66"/>
      <c r="BC566" s="66"/>
      <c r="BD566" s="66"/>
      <c r="BE566" s="66"/>
      <c r="BF566" s="66"/>
      <c r="BG566" s="66"/>
      <c r="BH566" s="66"/>
      <c r="BI566" s="66"/>
      <c r="BJ566" s="66"/>
      <c r="BK566" s="66"/>
      <c r="BL566" s="66"/>
      <c r="BM566" s="66"/>
      <c r="BN566" s="66"/>
      <c r="BO566" s="66"/>
      <c r="BP566" s="66"/>
      <c r="BQ566" s="66"/>
      <c r="BR566" s="66"/>
      <c r="BS566" s="66"/>
      <c r="BT566" s="66"/>
      <c r="BU566" s="66"/>
      <c r="BV566" s="66"/>
      <c r="BW566" s="66"/>
      <c r="BX566" s="66"/>
      <c r="BY566" s="66"/>
      <c r="BZ566" s="66"/>
      <c r="CA566" s="66"/>
      <c r="CB566" s="66"/>
      <c r="CC566" s="66"/>
    </row>
    <row r="567" ht="21.0" customHeight="1">
      <c r="A567" s="12"/>
      <c r="B567" s="115"/>
      <c r="C567" s="114"/>
      <c r="D567" s="108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6"/>
      <c r="AX567" s="66"/>
      <c r="AY567" s="66"/>
      <c r="AZ567" s="66"/>
      <c r="BA567" s="66"/>
      <c r="BB567" s="66"/>
      <c r="BC567" s="66"/>
      <c r="BD567" s="66"/>
      <c r="BE567" s="66"/>
      <c r="BF567" s="66"/>
      <c r="BG567" s="66"/>
      <c r="BH567" s="66"/>
      <c r="BI567" s="66"/>
      <c r="BJ567" s="66"/>
      <c r="BK567" s="66"/>
      <c r="BL567" s="66"/>
      <c r="BM567" s="66"/>
      <c r="BN567" s="66"/>
      <c r="BO567" s="66"/>
      <c r="BP567" s="66"/>
      <c r="BQ567" s="66"/>
      <c r="BR567" s="66"/>
      <c r="BS567" s="66"/>
      <c r="BT567" s="66"/>
      <c r="BU567" s="66"/>
      <c r="BV567" s="66"/>
      <c r="BW567" s="66"/>
      <c r="BX567" s="66"/>
      <c r="BY567" s="66"/>
      <c r="BZ567" s="66"/>
      <c r="CA567" s="66"/>
      <c r="CB567" s="66"/>
      <c r="CC567" s="66"/>
    </row>
    <row r="568" ht="21.0" customHeight="1">
      <c r="A568" s="12"/>
      <c r="B568" s="115"/>
      <c r="C568" s="114"/>
      <c r="D568" s="108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6"/>
      <c r="AW568" s="66"/>
      <c r="AX568" s="66"/>
      <c r="AY568" s="66"/>
      <c r="AZ568" s="66"/>
      <c r="BA568" s="66"/>
      <c r="BB568" s="66"/>
      <c r="BC568" s="66"/>
      <c r="BD568" s="66"/>
      <c r="BE568" s="66"/>
      <c r="BF568" s="66"/>
      <c r="BG568" s="66"/>
      <c r="BH568" s="66"/>
      <c r="BI568" s="66"/>
      <c r="BJ568" s="66"/>
      <c r="BK568" s="66"/>
      <c r="BL568" s="66"/>
      <c r="BM568" s="66"/>
      <c r="BN568" s="66"/>
      <c r="BO568" s="66"/>
      <c r="BP568" s="66"/>
      <c r="BQ568" s="66"/>
      <c r="BR568" s="66"/>
      <c r="BS568" s="66"/>
      <c r="BT568" s="66"/>
      <c r="BU568" s="66"/>
      <c r="BV568" s="66"/>
      <c r="BW568" s="66"/>
      <c r="BX568" s="66"/>
      <c r="BY568" s="66"/>
      <c r="BZ568" s="66"/>
      <c r="CA568" s="66"/>
      <c r="CB568" s="66"/>
      <c r="CC568" s="66"/>
    </row>
    <row r="569" ht="21.0" customHeight="1">
      <c r="A569" s="12"/>
      <c r="B569" s="115"/>
      <c r="C569" s="114"/>
      <c r="D569" s="108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6"/>
      <c r="AW569" s="66"/>
      <c r="AX569" s="66"/>
      <c r="AY569" s="66"/>
      <c r="AZ569" s="66"/>
      <c r="BA569" s="66"/>
      <c r="BB569" s="66"/>
      <c r="BC569" s="66"/>
      <c r="BD569" s="66"/>
      <c r="BE569" s="66"/>
      <c r="BF569" s="66"/>
      <c r="BG569" s="66"/>
      <c r="BH569" s="66"/>
      <c r="BI569" s="66"/>
      <c r="BJ569" s="66"/>
      <c r="BK569" s="66"/>
      <c r="BL569" s="66"/>
      <c r="BM569" s="66"/>
      <c r="BN569" s="66"/>
      <c r="BO569" s="66"/>
      <c r="BP569" s="66"/>
      <c r="BQ569" s="66"/>
      <c r="BR569" s="66"/>
      <c r="BS569" s="66"/>
      <c r="BT569" s="66"/>
      <c r="BU569" s="66"/>
      <c r="BV569" s="66"/>
      <c r="BW569" s="66"/>
      <c r="BX569" s="66"/>
      <c r="BY569" s="66"/>
      <c r="BZ569" s="66"/>
      <c r="CA569" s="66"/>
      <c r="CB569" s="66"/>
      <c r="CC569" s="66"/>
    </row>
    <row r="570" ht="21.0" customHeight="1">
      <c r="A570" s="12"/>
      <c r="B570" s="115"/>
      <c r="C570" s="114"/>
      <c r="D570" s="108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6"/>
      <c r="BB570" s="66"/>
      <c r="BC570" s="66"/>
      <c r="BD570" s="66"/>
      <c r="BE570" s="66"/>
      <c r="BF570" s="66"/>
      <c r="BG570" s="66"/>
      <c r="BH570" s="66"/>
      <c r="BI570" s="66"/>
      <c r="BJ570" s="66"/>
      <c r="BK570" s="66"/>
      <c r="BL570" s="66"/>
      <c r="BM570" s="66"/>
      <c r="BN570" s="66"/>
      <c r="BO570" s="66"/>
      <c r="BP570" s="66"/>
      <c r="BQ570" s="66"/>
      <c r="BR570" s="66"/>
      <c r="BS570" s="66"/>
      <c r="BT570" s="66"/>
      <c r="BU570" s="66"/>
      <c r="BV570" s="66"/>
      <c r="BW570" s="66"/>
      <c r="BX570" s="66"/>
      <c r="BY570" s="66"/>
      <c r="BZ570" s="66"/>
      <c r="CA570" s="66"/>
      <c r="CB570" s="66"/>
      <c r="CC570" s="66"/>
    </row>
    <row r="571" ht="21.0" customHeight="1">
      <c r="A571" s="12"/>
      <c r="B571" s="115"/>
      <c r="C571" s="114"/>
      <c r="D571" s="108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6"/>
      <c r="AW571" s="66"/>
      <c r="AX571" s="66"/>
      <c r="AY571" s="66"/>
      <c r="AZ571" s="66"/>
      <c r="BA571" s="66"/>
      <c r="BB571" s="66"/>
      <c r="BC571" s="66"/>
      <c r="BD571" s="66"/>
      <c r="BE571" s="66"/>
      <c r="BF571" s="66"/>
      <c r="BG571" s="66"/>
      <c r="BH571" s="66"/>
      <c r="BI571" s="66"/>
      <c r="BJ571" s="66"/>
      <c r="BK571" s="66"/>
      <c r="BL571" s="66"/>
      <c r="BM571" s="66"/>
      <c r="BN571" s="66"/>
      <c r="BO571" s="66"/>
      <c r="BP571" s="66"/>
      <c r="BQ571" s="66"/>
      <c r="BR571" s="66"/>
      <c r="BS571" s="66"/>
      <c r="BT571" s="66"/>
      <c r="BU571" s="66"/>
      <c r="BV571" s="66"/>
      <c r="BW571" s="66"/>
      <c r="BX571" s="66"/>
      <c r="BY571" s="66"/>
      <c r="BZ571" s="66"/>
      <c r="CA571" s="66"/>
      <c r="CB571" s="66"/>
      <c r="CC571" s="66"/>
    </row>
    <row r="572" ht="21.0" customHeight="1">
      <c r="A572" s="12"/>
      <c r="B572" s="115"/>
      <c r="C572" s="114"/>
      <c r="D572" s="108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6"/>
      <c r="AW572" s="66"/>
      <c r="AX572" s="66"/>
      <c r="AY572" s="66"/>
      <c r="AZ572" s="66"/>
      <c r="BA572" s="66"/>
      <c r="BB572" s="66"/>
      <c r="BC572" s="66"/>
      <c r="BD572" s="66"/>
      <c r="BE572" s="66"/>
      <c r="BF572" s="66"/>
      <c r="BG572" s="66"/>
      <c r="BH572" s="66"/>
      <c r="BI572" s="66"/>
      <c r="BJ572" s="66"/>
      <c r="BK572" s="66"/>
      <c r="BL572" s="66"/>
      <c r="BM572" s="66"/>
      <c r="BN572" s="66"/>
      <c r="BO572" s="66"/>
      <c r="BP572" s="66"/>
      <c r="BQ572" s="66"/>
      <c r="BR572" s="66"/>
      <c r="BS572" s="66"/>
      <c r="BT572" s="66"/>
      <c r="BU572" s="66"/>
      <c r="BV572" s="66"/>
      <c r="BW572" s="66"/>
      <c r="BX572" s="66"/>
      <c r="BY572" s="66"/>
      <c r="BZ572" s="66"/>
      <c r="CA572" s="66"/>
      <c r="CB572" s="66"/>
      <c r="CC572" s="66"/>
    </row>
    <row r="573" ht="21.0" customHeight="1">
      <c r="A573" s="12"/>
      <c r="B573" s="115"/>
      <c r="C573" s="114"/>
      <c r="D573" s="108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66"/>
      <c r="AX573" s="66"/>
      <c r="AY573" s="66"/>
      <c r="AZ573" s="66"/>
      <c r="BA573" s="66"/>
      <c r="BB573" s="66"/>
      <c r="BC573" s="66"/>
      <c r="BD573" s="66"/>
      <c r="BE573" s="66"/>
      <c r="BF573" s="66"/>
      <c r="BG573" s="66"/>
      <c r="BH573" s="66"/>
      <c r="BI573" s="66"/>
      <c r="BJ573" s="66"/>
      <c r="BK573" s="66"/>
      <c r="BL573" s="66"/>
      <c r="BM573" s="66"/>
      <c r="BN573" s="66"/>
      <c r="BO573" s="66"/>
      <c r="BP573" s="66"/>
      <c r="BQ573" s="66"/>
      <c r="BR573" s="66"/>
      <c r="BS573" s="66"/>
      <c r="BT573" s="66"/>
      <c r="BU573" s="66"/>
      <c r="BV573" s="66"/>
      <c r="BW573" s="66"/>
      <c r="BX573" s="66"/>
      <c r="BY573" s="66"/>
      <c r="BZ573" s="66"/>
      <c r="CA573" s="66"/>
      <c r="CB573" s="66"/>
      <c r="CC573" s="66"/>
    </row>
    <row r="574" ht="21.0" customHeight="1">
      <c r="A574" s="12"/>
      <c r="B574" s="115"/>
      <c r="C574" s="114"/>
      <c r="D574" s="108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6"/>
      <c r="AW574" s="66"/>
      <c r="AX574" s="66"/>
      <c r="AY574" s="66"/>
      <c r="AZ574" s="66"/>
      <c r="BA574" s="66"/>
      <c r="BB574" s="66"/>
      <c r="BC574" s="66"/>
      <c r="BD574" s="66"/>
      <c r="BE574" s="66"/>
      <c r="BF574" s="66"/>
      <c r="BG574" s="66"/>
      <c r="BH574" s="66"/>
      <c r="BI574" s="66"/>
      <c r="BJ574" s="66"/>
      <c r="BK574" s="66"/>
      <c r="BL574" s="66"/>
      <c r="BM574" s="66"/>
      <c r="BN574" s="66"/>
      <c r="BO574" s="66"/>
      <c r="BP574" s="66"/>
      <c r="BQ574" s="66"/>
      <c r="BR574" s="66"/>
      <c r="BS574" s="66"/>
      <c r="BT574" s="66"/>
      <c r="BU574" s="66"/>
      <c r="BV574" s="66"/>
      <c r="BW574" s="66"/>
      <c r="BX574" s="66"/>
      <c r="BY574" s="66"/>
      <c r="BZ574" s="66"/>
      <c r="CA574" s="66"/>
      <c r="CB574" s="66"/>
      <c r="CC574" s="66"/>
    </row>
    <row r="575" ht="21.0" customHeight="1">
      <c r="A575" s="12"/>
      <c r="B575" s="115"/>
      <c r="C575" s="114"/>
      <c r="D575" s="108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66"/>
      <c r="AX575" s="66"/>
      <c r="AY575" s="66"/>
      <c r="AZ575" s="66"/>
      <c r="BA575" s="66"/>
      <c r="BB575" s="66"/>
      <c r="BC575" s="66"/>
      <c r="BD575" s="66"/>
      <c r="BE575" s="66"/>
      <c r="BF575" s="66"/>
      <c r="BG575" s="66"/>
      <c r="BH575" s="66"/>
      <c r="BI575" s="66"/>
      <c r="BJ575" s="66"/>
      <c r="BK575" s="66"/>
      <c r="BL575" s="66"/>
      <c r="BM575" s="66"/>
      <c r="BN575" s="66"/>
      <c r="BO575" s="66"/>
      <c r="BP575" s="66"/>
      <c r="BQ575" s="66"/>
      <c r="BR575" s="66"/>
      <c r="BS575" s="66"/>
      <c r="BT575" s="66"/>
      <c r="BU575" s="66"/>
      <c r="BV575" s="66"/>
      <c r="BW575" s="66"/>
      <c r="BX575" s="66"/>
      <c r="BY575" s="66"/>
      <c r="BZ575" s="66"/>
      <c r="CA575" s="66"/>
      <c r="CB575" s="66"/>
      <c r="CC575" s="66"/>
    </row>
    <row r="576" ht="21.0" customHeight="1">
      <c r="A576" s="12"/>
      <c r="B576" s="115"/>
      <c r="C576" s="114"/>
      <c r="D576" s="108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6"/>
      <c r="AW576" s="66"/>
      <c r="AX576" s="66"/>
      <c r="AY576" s="66"/>
      <c r="AZ576" s="66"/>
      <c r="BA576" s="66"/>
      <c r="BB576" s="66"/>
      <c r="BC576" s="66"/>
      <c r="BD576" s="66"/>
      <c r="BE576" s="66"/>
      <c r="BF576" s="66"/>
      <c r="BG576" s="66"/>
      <c r="BH576" s="66"/>
      <c r="BI576" s="66"/>
      <c r="BJ576" s="66"/>
      <c r="BK576" s="66"/>
      <c r="BL576" s="66"/>
      <c r="BM576" s="66"/>
      <c r="BN576" s="66"/>
      <c r="BO576" s="66"/>
      <c r="BP576" s="66"/>
      <c r="BQ576" s="66"/>
      <c r="BR576" s="66"/>
      <c r="BS576" s="66"/>
      <c r="BT576" s="66"/>
      <c r="BU576" s="66"/>
      <c r="BV576" s="66"/>
      <c r="BW576" s="66"/>
      <c r="BX576" s="66"/>
      <c r="BY576" s="66"/>
      <c r="BZ576" s="66"/>
      <c r="CA576" s="66"/>
      <c r="CB576" s="66"/>
      <c r="CC576" s="66"/>
    </row>
    <row r="577" ht="21.0" customHeight="1">
      <c r="A577" s="12"/>
      <c r="B577" s="115"/>
      <c r="C577" s="114"/>
      <c r="D577" s="108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6"/>
      <c r="AW577" s="66"/>
      <c r="AX577" s="66"/>
      <c r="AY577" s="66"/>
      <c r="AZ577" s="66"/>
      <c r="BA577" s="66"/>
      <c r="BB577" s="66"/>
      <c r="BC577" s="66"/>
      <c r="BD577" s="66"/>
      <c r="BE577" s="66"/>
      <c r="BF577" s="66"/>
      <c r="BG577" s="66"/>
      <c r="BH577" s="66"/>
      <c r="BI577" s="66"/>
      <c r="BJ577" s="66"/>
      <c r="BK577" s="66"/>
      <c r="BL577" s="66"/>
      <c r="BM577" s="66"/>
      <c r="BN577" s="66"/>
      <c r="BO577" s="66"/>
      <c r="BP577" s="66"/>
      <c r="BQ577" s="66"/>
      <c r="BR577" s="66"/>
      <c r="BS577" s="66"/>
      <c r="BT577" s="66"/>
      <c r="BU577" s="66"/>
      <c r="BV577" s="66"/>
      <c r="BW577" s="66"/>
      <c r="BX577" s="66"/>
      <c r="BY577" s="66"/>
      <c r="BZ577" s="66"/>
      <c r="CA577" s="66"/>
      <c r="CB577" s="66"/>
      <c r="CC577" s="66"/>
    </row>
    <row r="578" ht="21.0" customHeight="1">
      <c r="A578" s="12"/>
      <c r="B578" s="115"/>
      <c r="C578" s="114"/>
      <c r="D578" s="108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6"/>
      <c r="AW578" s="66"/>
      <c r="AX578" s="66"/>
      <c r="AY578" s="66"/>
      <c r="AZ578" s="66"/>
      <c r="BA578" s="66"/>
      <c r="BB578" s="66"/>
      <c r="BC578" s="66"/>
      <c r="BD578" s="66"/>
      <c r="BE578" s="66"/>
      <c r="BF578" s="66"/>
      <c r="BG578" s="66"/>
      <c r="BH578" s="66"/>
      <c r="BI578" s="66"/>
      <c r="BJ578" s="66"/>
      <c r="BK578" s="66"/>
      <c r="BL578" s="66"/>
      <c r="BM578" s="66"/>
      <c r="BN578" s="66"/>
      <c r="BO578" s="66"/>
      <c r="BP578" s="66"/>
      <c r="BQ578" s="66"/>
      <c r="BR578" s="66"/>
      <c r="BS578" s="66"/>
      <c r="BT578" s="66"/>
      <c r="BU578" s="66"/>
      <c r="BV578" s="66"/>
      <c r="BW578" s="66"/>
      <c r="BX578" s="66"/>
      <c r="BY578" s="66"/>
      <c r="BZ578" s="66"/>
      <c r="CA578" s="66"/>
      <c r="CB578" s="66"/>
      <c r="CC578" s="66"/>
    </row>
    <row r="579" ht="21.0" customHeight="1">
      <c r="A579" s="12"/>
      <c r="B579" s="115"/>
      <c r="C579" s="114"/>
      <c r="D579" s="108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6"/>
      <c r="BB579" s="66"/>
      <c r="BC579" s="66"/>
      <c r="BD579" s="66"/>
      <c r="BE579" s="66"/>
      <c r="BF579" s="66"/>
      <c r="BG579" s="66"/>
      <c r="BH579" s="66"/>
      <c r="BI579" s="66"/>
      <c r="BJ579" s="66"/>
      <c r="BK579" s="66"/>
      <c r="BL579" s="66"/>
      <c r="BM579" s="66"/>
      <c r="BN579" s="66"/>
      <c r="BO579" s="66"/>
      <c r="BP579" s="66"/>
      <c r="BQ579" s="66"/>
      <c r="BR579" s="66"/>
      <c r="BS579" s="66"/>
      <c r="BT579" s="66"/>
      <c r="BU579" s="66"/>
      <c r="BV579" s="66"/>
      <c r="BW579" s="66"/>
      <c r="BX579" s="66"/>
      <c r="BY579" s="66"/>
      <c r="BZ579" s="66"/>
      <c r="CA579" s="66"/>
      <c r="CB579" s="66"/>
      <c r="CC579" s="66"/>
    </row>
    <row r="580" ht="21.0" customHeight="1">
      <c r="A580" s="12"/>
      <c r="B580" s="115"/>
      <c r="C580" s="114"/>
      <c r="D580" s="108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6"/>
      <c r="AW580" s="66"/>
      <c r="AX580" s="66"/>
      <c r="AY580" s="66"/>
      <c r="AZ580" s="66"/>
      <c r="BA580" s="66"/>
      <c r="BB580" s="66"/>
      <c r="BC580" s="66"/>
      <c r="BD580" s="66"/>
      <c r="BE580" s="66"/>
      <c r="BF580" s="66"/>
      <c r="BG580" s="66"/>
      <c r="BH580" s="66"/>
      <c r="BI580" s="66"/>
      <c r="BJ580" s="66"/>
      <c r="BK580" s="66"/>
      <c r="BL580" s="66"/>
      <c r="BM580" s="66"/>
      <c r="BN580" s="66"/>
      <c r="BO580" s="66"/>
      <c r="BP580" s="66"/>
      <c r="BQ580" s="66"/>
      <c r="BR580" s="66"/>
      <c r="BS580" s="66"/>
      <c r="BT580" s="66"/>
      <c r="BU580" s="66"/>
      <c r="BV580" s="66"/>
      <c r="BW580" s="66"/>
      <c r="BX580" s="66"/>
      <c r="BY580" s="66"/>
      <c r="BZ580" s="66"/>
      <c r="CA580" s="66"/>
      <c r="CB580" s="66"/>
      <c r="CC580" s="66"/>
    </row>
    <row r="581" ht="21.0" customHeight="1">
      <c r="A581" s="12"/>
      <c r="B581" s="115"/>
      <c r="C581" s="114"/>
      <c r="D581" s="108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6"/>
      <c r="AW581" s="66"/>
      <c r="AX581" s="66"/>
      <c r="AY581" s="66"/>
      <c r="AZ581" s="66"/>
      <c r="BA581" s="66"/>
      <c r="BB581" s="66"/>
      <c r="BC581" s="66"/>
      <c r="BD581" s="66"/>
      <c r="BE581" s="66"/>
      <c r="BF581" s="66"/>
      <c r="BG581" s="66"/>
      <c r="BH581" s="66"/>
      <c r="BI581" s="66"/>
      <c r="BJ581" s="66"/>
      <c r="BK581" s="66"/>
      <c r="BL581" s="66"/>
      <c r="BM581" s="66"/>
      <c r="BN581" s="66"/>
      <c r="BO581" s="66"/>
      <c r="BP581" s="66"/>
      <c r="BQ581" s="66"/>
      <c r="BR581" s="66"/>
      <c r="BS581" s="66"/>
      <c r="BT581" s="66"/>
      <c r="BU581" s="66"/>
      <c r="BV581" s="66"/>
      <c r="BW581" s="66"/>
      <c r="BX581" s="66"/>
      <c r="BY581" s="66"/>
      <c r="BZ581" s="66"/>
      <c r="CA581" s="66"/>
      <c r="CB581" s="66"/>
      <c r="CC581" s="66"/>
    </row>
    <row r="582" ht="21.0" customHeight="1">
      <c r="A582" s="12"/>
      <c r="B582" s="115"/>
      <c r="C582" s="114"/>
      <c r="D582" s="108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6"/>
      <c r="AW582" s="66"/>
      <c r="AX582" s="66"/>
      <c r="AY582" s="66"/>
      <c r="AZ582" s="66"/>
      <c r="BA582" s="66"/>
      <c r="BB582" s="66"/>
      <c r="BC582" s="66"/>
      <c r="BD582" s="66"/>
      <c r="BE582" s="66"/>
      <c r="BF582" s="66"/>
      <c r="BG582" s="66"/>
      <c r="BH582" s="66"/>
      <c r="BI582" s="66"/>
      <c r="BJ582" s="66"/>
      <c r="BK582" s="66"/>
      <c r="BL582" s="66"/>
      <c r="BM582" s="66"/>
      <c r="BN582" s="66"/>
      <c r="BO582" s="66"/>
      <c r="BP582" s="66"/>
      <c r="BQ582" s="66"/>
      <c r="BR582" s="66"/>
      <c r="BS582" s="66"/>
      <c r="BT582" s="66"/>
      <c r="BU582" s="66"/>
      <c r="BV582" s="66"/>
      <c r="BW582" s="66"/>
      <c r="BX582" s="66"/>
      <c r="BY582" s="66"/>
      <c r="BZ582" s="66"/>
      <c r="CA582" s="66"/>
      <c r="CB582" s="66"/>
      <c r="CC582" s="66"/>
    </row>
    <row r="583" ht="21.0" customHeight="1">
      <c r="A583" s="12"/>
      <c r="B583" s="115"/>
      <c r="C583" s="114"/>
      <c r="D583" s="108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66"/>
      <c r="AX583" s="66"/>
      <c r="AY583" s="66"/>
      <c r="AZ583" s="66"/>
      <c r="BA583" s="66"/>
      <c r="BB583" s="66"/>
      <c r="BC583" s="66"/>
      <c r="BD583" s="66"/>
      <c r="BE583" s="66"/>
      <c r="BF583" s="66"/>
      <c r="BG583" s="66"/>
      <c r="BH583" s="66"/>
      <c r="BI583" s="66"/>
      <c r="BJ583" s="66"/>
      <c r="BK583" s="66"/>
      <c r="BL583" s="66"/>
      <c r="BM583" s="66"/>
      <c r="BN583" s="66"/>
      <c r="BO583" s="66"/>
      <c r="BP583" s="66"/>
      <c r="BQ583" s="66"/>
      <c r="BR583" s="66"/>
      <c r="BS583" s="66"/>
      <c r="BT583" s="66"/>
      <c r="BU583" s="66"/>
      <c r="BV583" s="66"/>
      <c r="BW583" s="66"/>
      <c r="BX583" s="66"/>
      <c r="BY583" s="66"/>
      <c r="BZ583" s="66"/>
      <c r="CA583" s="66"/>
      <c r="CB583" s="66"/>
      <c r="CC583" s="66"/>
    </row>
    <row r="584" ht="21.0" customHeight="1">
      <c r="A584" s="12"/>
      <c r="B584" s="115"/>
      <c r="C584" s="114"/>
      <c r="D584" s="108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6"/>
      <c r="AW584" s="66"/>
      <c r="AX584" s="66"/>
      <c r="AY584" s="66"/>
      <c r="AZ584" s="66"/>
      <c r="BA584" s="66"/>
      <c r="BB584" s="66"/>
      <c r="BC584" s="66"/>
      <c r="BD584" s="66"/>
      <c r="BE584" s="66"/>
      <c r="BF584" s="66"/>
      <c r="BG584" s="66"/>
      <c r="BH584" s="66"/>
      <c r="BI584" s="66"/>
      <c r="BJ584" s="66"/>
      <c r="BK584" s="66"/>
      <c r="BL584" s="66"/>
      <c r="BM584" s="66"/>
      <c r="BN584" s="66"/>
      <c r="BO584" s="66"/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6"/>
      <c r="CA584" s="66"/>
      <c r="CB584" s="66"/>
      <c r="CC584" s="66"/>
    </row>
    <row r="585" ht="21.0" customHeight="1">
      <c r="A585" s="12"/>
      <c r="B585" s="115"/>
      <c r="C585" s="114"/>
      <c r="D585" s="108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6"/>
      <c r="AW585" s="66"/>
      <c r="AX585" s="66"/>
      <c r="AY585" s="66"/>
      <c r="AZ585" s="66"/>
      <c r="BA585" s="66"/>
      <c r="BB585" s="66"/>
      <c r="BC585" s="66"/>
      <c r="BD585" s="66"/>
      <c r="BE585" s="66"/>
      <c r="BF585" s="66"/>
      <c r="BG585" s="66"/>
      <c r="BH585" s="66"/>
      <c r="BI585" s="66"/>
      <c r="BJ585" s="66"/>
      <c r="BK585" s="66"/>
      <c r="BL585" s="66"/>
      <c r="BM585" s="66"/>
      <c r="BN585" s="66"/>
      <c r="BO585" s="66"/>
      <c r="BP585" s="66"/>
      <c r="BQ585" s="66"/>
      <c r="BR585" s="66"/>
      <c r="BS585" s="66"/>
      <c r="BT585" s="66"/>
      <c r="BU585" s="66"/>
      <c r="BV585" s="66"/>
      <c r="BW585" s="66"/>
      <c r="BX585" s="66"/>
      <c r="BY585" s="66"/>
      <c r="BZ585" s="66"/>
      <c r="CA585" s="66"/>
      <c r="CB585" s="66"/>
      <c r="CC585" s="66"/>
    </row>
    <row r="586" ht="21.0" customHeight="1">
      <c r="A586" s="12"/>
      <c r="B586" s="115"/>
      <c r="C586" s="114"/>
      <c r="D586" s="108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6"/>
      <c r="AW586" s="66"/>
      <c r="AX586" s="66"/>
      <c r="AY586" s="66"/>
      <c r="AZ586" s="66"/>
      <c r="BA586" s="66"/>
      <c r="BB586" s="66"/>
      <c r="BC586" s="66"/>
      <c r="BD586" s="66"/>
      <c r="BE586" s="66"/>
      <c r="BF586" s="66"/>
      <c r="BG586" s="66"/>
      <c r="BH586" s="66"/>
      <c r="BI586" s="66"/>
      <c r="BJ586" s="66"/>
      <c r="BK586" s="66"/>
      <c r="BL586" s="66"/>
      <c r="BM586" s="66"/>
      <c r="BN586" s="66"/>
      <c r="BO586" s="66"/>
      <c r="BP586" s="66"/>
      <c r="BQ586" s="66"/>
      <c r="BR586" s="66"/>
      <c r="BS586" s="66"/>
      <c r="BT586" s="66"/>
      <c r="BU586" s="66"/>
      <c r="BV586" s="66"/>
      <c r="BW586" s="66"/>
      <c r="BX586" s="66"/>
      <c r="BY586" s="66"/>
      <c r="BZ586" s="66"/>
      <c r="CA586" s="66"/>
      <c r="CB586" s="66"/>
      <c r="CC586" s="66"/>
    </row>
    <row r="587" ht="21.0" customHeight="1">
      <c r="A587" s="12"/>
      <c r="B587" s="115"/>
      <c r="C587" s="114"/>
      <c r="D587" s="108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6"/>
      <c r="AW587" s="66"/>
      <c r="AX587" s="66"/>
      <c r="AY587" s="66"/>
      <c r="AZ587" s="66"/>
      <c r="BA587" s="66"/>
      <c r="BB587" s="66"/>
      <c r="BC587" s="66"/>
      <c r="BD587" s="66"/>
      <c r="BE587" s="66"/>
      <c r="BF587" s="66"/>
      <c r="BG587" s="66"/>
      <c r="BH587" s="66"/>
      <c r="BI587" s="66"/>
      <c r="BJ587" s="66"/>
      <c r="BK587" s="66"/>
      <c r="BL587" s="66"/>
      <c r="BM587" s="66"/>
      <c r="BN587" s="66"/>
      <c r="BO587" s="66"/>
      <c r="BP587" s="66"/>
      <c r="BQ587" s="66"/>
      <c r="BR587" s="66"/>
      <c r="BS587" s="66"/>
      <c r="BT587" s="66"/>
      <c r="BU587" s="66"/>
      <c r="BV587" s="66"/>
      <c r="BW587" s="66"/>
      <c r="BX587" s="66"/>
      <c r="BY587" s="66"/>
      <c r="BZ587" s="66"/>
      <c r="CA587" s="66"/>
      <c r="CB587" s="66"/>
      <c r="CC587" s="66"/>
    </row>
    <row r="588" ht="21.0" customHeight="1">
      <c r="A588" s="12"/>
      <c r="B588" s="115"/>
      <c r="C588" s="114"/>
      <c r="D588" s="108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6"/>
      <c r="AW588" s="66"/>
      <c r="AX588" s="66"/>
      <c r="AY588" s="66"/>
      <c r="AZ588" s="66"/>
      <c r="BA588" s="66"/>
      <c r="BB588" s="66"/>
      <c r="BC588" s="66"/>
      <c r="BD588" s="66"/>
      <c r="BE588" s="66"/>
      <c r="BF588" s="66"/>
      <c r="BG588" s="66"/>
      <c r="BH588" s="66"/>
      <c r="BI588" s="66"/>
      <c r="BJ588" s="66"/>
      <c r="BK588" s="66"/>
      <c r="BL588" s="66"/>
      <c r="BM588" s="66"/>
      <c r="BN588" s="66"/>
      <c r="BO588" s="66"/>
      <c r="BP588" s="66"/>
      <c r="BQ588" s="66"/>
      <c r="BR588" s="66"/>
      <c r="BS588" s="66"/>
      <c r="BT588" s="66"/>
      <c r="BU588" s="66"/>
      <c r="BV588" s="66"/>
      <c r="BW588" s="66"/>
      <c r="BX588" s="66"/>
      <c r="BY588" s="66"/>
      <c r="BZ588" s="66"/>
      <c r="CA588" s="66"/>
      <c r="CB588" s="66"/>
      <c r="CC588" s="66"/>
    </row>
    <row r="589" ht="21.0" customHeight="1">
      <c r="A589" s="12"/>
      <c r="B589" s="115"/>
      <c r="C589" s="114"/>
      <c r="D589" s="108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6"/>
      <c r="AW589" s="66"/>
      <c r="AX589" s="66"/>
      <c r="AY589" s="66"/>
      <c r="AZ589" s="66"/>
      <c r="BA589" s="66"/>
      <c r="BB589" s="66"/>
      <c r="BC589" s="66"/>
      <c r="BD589" s="66"/>
      <c r="BE589" s="66"/>
      <c r="BF589" s="66"/>
      <c r="BG589" s="66"/>
      <c r="BH589" s="66"/>
      <c r="BI589" s="66"/>
      <c r="BJ589" s="66"/>
      <c r="BK589" s="66"/>
      <c r="BL589" s="66"/>
      <c r="BM589" s="66"/>
      <c r="BN589" s="66"/>
      <c r="BO589" s="66"/>
      <c r="BP589" s="66"/>
      <c r="BQ589" s="66"/>
      <c r="BR589" s="66"/>
      <c r="BS589" s="66"/>
      <c r="BT589" s="66"/>
      <c r="BU589" s="66"/>
      <c r="BV589" s="66"/>
      <c r="BW589" s="66"/>
      <c r="BX589" s="66"/>
      <c r="BY589" s="66"/>
      <c r="BZ589" s="66"/>
      <c r="CA589" s="66"/>
      <c r="CB589" s="66"/>
      <c r="CC589" s="66"/>
    </row>
    <row r="590" ht="21.0" customHeight="1">
      <c r="A590" s="12"/>
      <c r="B590" s="115"/>
      <c r="C590" s="114"/>
      <c r="D590" s="108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6"/>
      <c r="AW590" s="66"/>
      <c r="AX590" s="66"/>
      <c r="AY590" s="66"/>
      <c r="AZ590" s="66"/>
      <c r="BA590" s="66"/>
      <c r="BB590" s="66"/>
      <c r="BC590" s="66"/>
      <c r="BD590" s="66"/>
      <c r="BE590" s="66"/>
      <c r="BF590" s="66"/>
      <c r="BG590" s="66"/>
      <c r="BH590" s="66"/>
      <c r="BI590" s="66"/>
      <c r="BJ590" s="66"/>
      <c r="BK590" s="66"/>
      <c r="BL590" s="66"/>
      <c r="BM590" s="66"/>
      <c r="BN590" s="66"/>
      <c r="BO590" s="66"/>
      <c r="BP590" s="66"/>
      <c r="BQ590" s="66"/>
      <c r="BR590" s="66"/>
      <c r="BS590" s="66"/>
      <c r="BT590" s="66"/>
      <c r="BU590" s="66"/>
      <c r="BV590" s="66"/>
      <c r="BW590" s="66"/>
      <c r="BX590" s="66"/>
      <c r="BY590" s="66"/>
      <c r="BZ590" s="66"/>
      <c r="CA590" s="66"/>
      <c r="CB590" s="66"/>
      <c r="CC590" s="66"/>
    </row>
    <row r="591" ht="21.0" customHeight="1">
      <c r="A591" s="12"/>
      <c r="B591" s="115"/>
      <c r="C591" s="114"/>
      <c r="D591" s="108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6"/>
      <c r="AX591" s="66"/>
      <c r="AY591" s="66"/>
      <c r="AZ591" s="66"/>
      <c r="BA591" s="66"/>
      <c r="BB591" s="66"/>
      <c r="BC591" s="66"/>
      <c r="BD591" s="66"/>
      <c r="BE591" s="66"/>
      <c r="BF591" s="66"/>
      <c r="BG591" s="66"/>
      <c r="BH591" s="66"/>
      <c r="BI591" s="66"/>
      <c r="BJ591" s="66"/>
      <c r="BK591" s="66"/>
      <c r="BL591" s="66"/>
      <c r="BM591" s="66"/>
      <c r="BN591" s="66"/>
      <c r="BO591" s="66"/>
      <c r="BP591" s="66"/>
      <c r="BQ591" s="66"/>
      <c r="BR591" s="66"/>
      <c r="BS591" s="66"/>
      <c r="BT591" s="66"/>
      <c r="BU591" s="66"/>
      <c r="BV591" s="66"/>
      <c r="BW591" s="66"/>
      <c r="BX591" s="66"/>
      <c r="BY591" s="66"/>
      <c r="BZ591" s="66"/>
      <c r="CA591" s="66"/>
      <c r="CB591" s="66"/>
      <c r="CC591" s="66"/>
    </row>
    <row r="592" ht="21.0" customHeight="1">
      <c r="A592" s="12"/>
      <c r="B592" s="115"/>
      <c r="C592" s="114"/>
      <c r="D592" s="108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6"/>
      <c r="AW592" s="66"/>
      <c r="AX592" s="66"/>
      <c r="AY592" s="66"/>
      <c r="AZ592" s="66"/>
      <c r="BA592" s="66"/>
      <c r="BB592" s="66"/>
      <c r="BC592" s="66"/>
      <c r="BD592" s="66"/>
      <c r="BE592" s="66"/>
      <c r="BF592" s="66"/>
      <c r="BG592" s="66"/>
      <c r="BH592" s="66"/>
      <c r="BI592" s="66"/>
      <c r="BJ592" s="66"/>
      <c r="BK592" s="66"/>
      <c r="BL592" s="66"/>
      <c r="BM592" s="66"/>
      <c r="BN592" s="66"/>
      <c r="BO592" s="66"/>
      <c r="BP592" s="66"/>
      <c r="BQ592" s="66"/>
      <c r="BR592" s="66"/>
      <c r="BS592" s="66"/>
      <c r="BT592" s="66"/>
      <c r="BU592" s="66"/>
      <c r="BV592" s="66"/>
      <c r="BW592" s="66"/>
      <c r="BX592" s="66"/>
      <c r="BY592" s="66"/>
      <c r="BZ592" s="66"/>
      <c r="CA592" s="66"/>
      <c r="CB592" s="66"/>
      <c r="CC592" s="66"/>
    </row>
    <row r="593" ht="21.0" customHeight="1">
      <c r="A593" s="12"/>
      <c r="B593" s="115"/>
      <c r="C593" s="114"/>
      <c r="D593" s="108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6"/>
      <c r="AW593" s="66"/>
      <c r="AX593" s="66"/>
      <c r="AY593" s="66"/>
      <c r="AZ593" s="66"/>
      <c r="BA593" s="66"/>
      <c r="BB593" s="66"/>
      <c r="BC593" s="66"/>
      <c r="BD593" s="66"/>
      <c r="BE593" s="66"/>
      <c r="BF593" s="66"/>
      <c r="BG593" s="66"/>
      <c r="BH593" s="66"/>
      <c r="BI593" s="66"/>
      <c r="BJ593" s="66"/>
      <c r="BK593" s="66"/>
      <c r="BL593" s="66"/>
      <c r="BM593" s="66"/>
      <c r="BN593" s="66"/>
      <c r="BO593" s="66"/>
      <c r="BP593" s="66"/>
      <c r="BQ593" s="66"/>
      <c r="BR593" s="66"/>
      <c r="BS593" s="66"/>
      <c r="BT593" s="66"/>
      <c r="BU593" s="66"/>
      <c r="BV593" s="66"/>
      <c r="BW593" s="66"/>
      <c r="BX593" s="66"/>
      <c r="BY593" s="66"/>
      <c r="BZ593" s="66"/>
      <c r="CA593" s="66"/>
      <c r="CB593" s="66"/>
      <c r="CC593" s="66"/>
    </row>
    <row r="594" ht="21.0" customHeight="1">
      <c r="A594" s="12"/>
      <c r="B594" s="115"/>
      <c r="C594" s="114"/>
      <c r="D594" s="108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66"/>
      <c r="AX594" s="66"/>
      <c r="AY594" s="66"/>
      <c r="AZ594" s="66"/>
      <c r="BA594" s="66"/>
      <c r="BB594" s="66"/>
      <c r="BC594" s="66"/>
      <c r="BD594" s="66"/>
      <c r="BE594" s="66"/>
      <c r="BF594" s="66"/>
      <c r="BG594" s="66"/>
      <c r="BH594" s="66"/>
      <c r="BI594" s="66"/>
      <c r="BJ594" s="66"/>
      <c r="BK594" s="66"/>
      <c r="BL594" s="66"/>
      <c r="BM594" s="66"/>
      <c r="BN594" s="66"/>
      <c r="BO594" s="66"/>
      <c r="BP594" s="66"/>
      <c r="BQ594" s="66"/>
      <c r="BR594" s="66"/>
      <c r="BS594" s="66"/>
      <c r="BT594" s="66"/>
      <c r="BU594" s="66"/>
      <c r="BV594" s="66"/>
      <c r="BW594" s="66"/>
      <c r="BX594" s="66"/>
      <c r="BY594" s="66"/>
      <c r="BZ594" s="66"/>
      <c r="CA594" s="66"/>
      <c r="CB594" s="66"/>
      <c r="CC594" s="66"/>
    </row>
    <row r="595" ht="21.0" customHeight="1">
      <c r="A595" s="12"/>
      <c r="B595" s="115"/>
      <c r="C595" s="114"/>
      <c r="D595" s="108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6"/>
      <c r="AW595" s="66"/>
      <c r="AX595" s="66"/>
      <c r="AY595" s="66"/>
      <c r="AZ595" s="66"/>
      <c r="BA595" s="66"/>
      <c r="BB595" s="66"/>
      <c r="BC595" s="66"/>
      <c r="BD595" s="66"/>
      <c r="BE595" s="66"/>
      <c r="BF595" s="66"/>
      <c r="BG595" s="66"/>
      <c r="BH595" s="66"/>
      <c r="BI595" s="66"/>
      <c r="BJ595" s="66"/>
      <c r="BK595" s="66"/>
      <c r="BL595" s="66"/>
      <c r="BM595" s="66"/>
      <c r="BN595" s="66"/>
      <c r="BO595" s="66"/>
      <c r="BP595" s="66"/>
      <c r="BQ595" s="66"/>
      <c r="BR595" s="66"/>
      <c r="BS595" s="66"/>
      <c r="BT595" s="66"/>
      <c r="BU595" s="66"/>
      <c r="BV595" s="66"/>
      <c r="BW595" s="66"/>
      <c r="BX595" s="66"/>
      <c r="BY595" s="66"/>
      <c r="BZ595" s="66"/>
      <c r="CA595" s="66"/>
      <c r="CB595" s="66"/>
      <c r="CC595" s="66"/>
    </row>
    <row r="596" ht="21.0" customHeight="1">
      <c r="A596" s="12"/>
      <c r="B596" s="115"/>
      <c r="C596" s="114"/>
      <c r="D596" s="108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6"/>
      <c r="AW596" s="66"/>
      <c r="AX596" s="66"/>
      <c r="AY596" s="66"/>
      <c r="AZ596" s="66"/>
      <c r="BA596" s="66"/>
      <c r="BB596" s="66"/>
      <c r="BC596" s="66"/>
      <c r="BD596" s="66"/>
      <c r="BE596" s="66"/>
      <c r="BF596" s="66"/>
      <c r="BG596" s="66"/>
      <c r="BH596" s="66"/>
      <c r="BI596" s="66"/>
      <c r="BJ596" s="66"/>
      <c r="BK596" s="66"/>
      <c r="BL596" s="66"/>
      <c r="BM596" s="66"/>
      <c r="BN596" s="66"/>
      <c r="BO596" s="66"/>
      <c r="BP596" s="66"/>
      <c r="BQ596" s="66"/>
      <c r="BR596" s="66"/>
      <c r="BS596" s="66"/>
      <c r="BT596" s="66"/>
      <c r="BU596" s="66"/>
      <c r="BV596" s="66"/>
      <c r="BW596" s="66"/>
      <c r="BX596" s="66"/>
      <c r="BY596" s="66"/>
      <c r="BZ596" s="66"/>
      <c r="CA596" s="66"/>
      <c r="CB596" s="66"/>
      <c r="CC596" s="66"/>
    </row>
    <row r="597" ht="21.0" customHeight="1">
      <c r="A597" s="12"/>
      <c r="B597" s="115"/>
      <c r="C597" s="114"/>
      <c r="D597" s="108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6"/>
      <c r="AW597" s="66"/>
      <c r="AX597" s="66"/>
      <c r="AY597" s="66"/>
      <c r="AZ597" s="66"/>
      <c r="BA597" s="66"/>
      <c r="BB597" s="66"/>
      <c r="BC597" s="66"/>
      <c r="BD597" s="66"/>
      <c r="BE597" s="66"/>
      <c r="BF597" s="66"/>
      <c r="BG597" s="66"/>
      <c r="BH597" s="66"/>
      <c r="BI597" s="66"/>
      <c r="BJ597" s="66"/>
      <c r="BK597" s="66"/>
      <c r="BL597" s="66"/>
      <c r="BM597" s="66"/>
      <c r="BN597" s="66"/>
      <c r="BO597" s="66"/>
      <c r="BP597" s="66"/>
      <c r="BQ597" s="66"/>
      <c r="BR597" s="66"/>
      <c r="BS597" s="66"/>
      <c r="BT597" s="66"/>
      <c r="BU597" s="66"/>
      <c r="BV597" s="66"/>
      <c r="BW597" s="66"/>
      <c r="BX597" s="66"/>
      <c r="BY597" s="66"/>
      <c r="BZ597" s="66"/>
      <c r="CA597" s="66"/>
      <c r="CB597" s="66"/>
      <c r="CC597" s="66"/>
    </row>
    <row r="598" ht="21.0" customHeight="1">
      <c r="A598" s="12"/>
      <c r="B598" s="115"/>
      <c r="C598" s="114"/>
      <c r="D598" s="108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6"/>
      <c r="AW598" s="66"/>
      <c r="AX598" s="66"/>
      <c r="AY598" s="66"/>
      <c r="AZ598" s="66"/>
      <c r="BA598" s="66"/>
      <c r="BB598" s="66"/>
      <c r="BC598" s="66"/>
      <c r="BD598" s="66"/>
      <c r="BE598" s="66"/>
      <c r="BF598" s="66"/>
      <c r="BG598" s="66"/>
      <c r="BH598" s="66"/>
      <c r="BI598" s="66"/>
      <c r="BJ598" s="66"/>
      <c r="BK598" s="66"/>
      <c r="BL598" s="66"/>
      <c r="BM598" s="66"/>
      <c r="BN598" s="66"/>
      <c r="BO598" s="66"/>
      <c r="BP598" s="66"/>
      <c r="BQ598" s="66"/>
      <c r="BR598" s="66"/>
      <c r="BS598" s="66"/>
      <c r="BT598" s="66"/>
      <c r="BU598" s="66"/>
      <c r="BV598" s="66"/>
      <c r="BW598" s="66"/>
      <c r="BX598" s="66"/>
      <c r="BY598" s="66"/>
      <c r="BZ598" s="66"/>
      <c r="CA598" s="66"/>
      <c r="CB598" s="66"/>
      <c r="CC598" s="66"/>
    </row>
    <row r="599" ht="21.0" customHeight="1">
      <c r="A599" s="12"/>
      <c r="B599" s="115"/>
      <c r="C599" s="114"/>
      <c r="D599" s="108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6"/>
      <c r="AW599" s="66"/>
      <c r="AX599" s="66"/>
      <c r="AY599" s="66"/>
      <c r="AZ599" s="66"/>
      <c r="BA599" s="66"/>
      <c r="BB599" s="66"/>
      <c r="BC599" s="66"/>
      <c r="BD599" s="66"/>
      <c r="BE599" s="66"/>
      <c r="BF599" s="66"/>
      <c r="BG599" s="66"/>
      <c r="BH599" s="66"/>
      <c r="BI599" s="66"/>
      <c r="BJ599" s="66"/>
      <c r="BK599" s="66"/>
      <c r="BL599" s="66"/>
      <c r="BM599" s="66"/>
      <c r="BN599" s="66"/>
      <c r="BO599" s="66"/>
      <c r="BP599" s="66"/>
      <c r="BQ599" s="66"/>
      <c r="BR599" s="66"/>
      <c r="BS599" s="66"/>
      <c r="BT599" s="66"/>
      <c r="BU599" s="66"/>
      <c r="BV599" s="66"/>
      <c r="BW599" s="66"/>
      <c r="BX599" s="66"/>
      <c r="BY599" s="66"/>
      <c r="BZ599" s="66"/>
      <c r="CA599" s="66"/>
      <c r="CB599" s="66"/>
      <c r="CC599" s="66"/>
    </row>
    <row r="600" ht="21.0" customHeight="1">
      <c r="A600" s="12"/>
      <c r="B600" s="115"/>
      <c r="C600" s="114"/>
      <c r="D600" s="108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6"/>
      <c r="AW600" s="66"/>
      <c r="AX600" s="66"/>
      <c r="AY600" s="66"/>
      <c r="AZ600" s="66"/>
      <c r="BA600" s="66"/>
      <c r="BB600" s="66"/>
      <c r="BC600" s="66"/>
      <c r="BD600" s="66"/>
      <c r="BE600" s="66"/>
      <c r="BF600" s="66"/>
      <c r="BG600" s="66"/>
      <c r="BH600" s="66"/>
      <c r="BI600" s="66"/>
      <c r="BJ600" s="66"/>
      <c r="BK600" s="66"/>
      <c r="BL600" s="66"/>
      <c r="BM600" s="66"/>
      <c r="BN600" s="66"/>
      <c r="BO600" s="66"/>
      <c r="BP600" s="66"/>
      <c r="BQ600" s="66"/>
      <c r="BR600" s="66"/>
      <c r="BS600" s="66"/>
      <c r="BT600" s="66"/>
      <c r="BU600" s="66"/>
      <c r="BV600" s="66"/>
      <c r="BW600" s="66"/>
      <c r="BX600" s="66"/>
      <c r="BY600" s="66"/>
      <c r="BZ600" s="66"/>
      <c r="CA600" s="66"/>
      <c r="CB600" s="66"/>
      <c r="CC600" s="66"/>
    </row>
    <row r="601" ht="21.0" customHeight="1">
      <c r="A601" s="12"/>
      <c r="B601" s="115"/>
      <c r="C601" s="114"/>
      <c r="D601" s="108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6"/>
      <c r="AW601" s="66"/>
      <c r="AX601" s="66"/>
      <c r="AY601" s="66"/>
      <c r="AZ601" s="66"/>
      <c r="BA601" s="66"/>
      <c r="BB601" s="66"/>
      <c r="BC601" s="66"/>
      <c r="BD601" s="66"/>
      <c r="BE601" s="66"/>
      <c r="BF601" s="66"/>
      <c r="BG601" s="66"/>
      <c r="BH601" s="66"/>
      <c r="BI601" s="66"/>
      <c r="BJ601" s="66"/>
      <c r="BK601" s="66"/>
      <c r="BL601" s="66"/>
      <c r="BM601" s="66"/>
      <c r="BN601" s="66"/>
      <c r="BO601" s="66"/>
      <c r="BP601" s="66"/>
      <c r="BQ601" s="66"/>
      <c r="BR601" s="66"/>
      <c r="BS601" s="66"/>
      <c r="BT601" s="66"/>
      <c r="BU601" s="66"/>
      <c r="BV601" s="66"/>
      <c r="BW601" s="66"/>
      <c r="BX601" s="66"/>
      <c r="BY601" s="66"/>
      <c r="BZ601" s="66"/>
      <c r="CA601" s="66"/>
      <c r="CB601" s="66"/>
      <c r="CC601" s="66"/>
    </row>
    <row r="602" ht="21.0" customHeight="1">
      <c r="A602" s="12"/>
      <c r="B602" s="115"/>
      <c r="C602" s="114"/>
      <c r="D602" s="108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66"/>
      <c r="AX602" s="66"/>
      <c r="AY602" s="66"/>
      <c r="AZ602" s="66"/>
      <c r="BA602" s="66"/>
      <c r="BB602" s="66"/>
      <c r="BC602" s="66"/>
      <c r="BD602" s="66"/>
      <c r="BE602" s="66"/>
      <c r="BF602" s="66"/>
      <c r="BG602" s="66"/>
      <c r="BH602" s="66"/>
      <c r="BI602" s="66"/>
      <c r="BJ602" s="66"/>
      <c r="BK602" s="66"/>
      <c r="BL602" s="66"/>
      <c r="BM602" s="66"/>
      <c r="BN602" s="66"/>
      <c r="BO602" s="66"/>
      <c r="BP602" s="66"/>
      <c r="BQ602" s="66"/>
      <c r="BR602" s="66"/>
      <c r="BS602" s="66"/>
      <c r="BT602" s="66"/>
      <c r="BU602" s="66"/>
      <c r="BV602" s="66"/>
      <c r="BW602" s="66"/>
      <c r="BX602" s="66"/>
      <c r="BY602" s="66"/>
      <c r="BZ602" s="66"/>
      <c r="CA602" s="66"/>
      <c r="CB602" s="66"/>
      <c r="CC602" s="66"/>
    </row>
    <row r="603" ht="21.0" customHeight="1">
      <c r="A603" s="12"/>
      <c r="B603" s="115"/>
      <c r="C603" s="114"/>
      <c r="D603" s="108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6"/>
      <c r="AX603" s="66"/>
      <c r="AY603" s="66"/>
      <c r="AZ603" s="66"/>
      <c r="BA603" s="66"/>
      <c r="BB603" s="66"/>
      <c r="BC603" s="66"/>
      <c r="BD603" s="66"/>
      <c r="BE603" s="66"/>
      <c r="BF603" s="66"/>
      <c r="BG603" s="66"/>
      <c r="BH603" s="66"/>
      <c r="BI603" s="66"/>
      <c r="BJ603" s="66"/>
      <c r="BK603" s="66"/>
      <c r="BL603" s="66"/>
      <c r="BM603" s="66"/>
      <c r="BN603" s="66"/>
      <c r="BO603" s="66"/>
      <c r="BP603" s="66"/>
      <c r="BQ603" s="66"/>
      <c r="BR603" s="66"/>
      <c r="BS603" s="66"/>
      <c r="BT603" s="66"/>
      <c r="BU603" s="66"/>
      <c r="BV603" s="66"/>
      <c r="BW603" s="66"/>
      <c r="BX603" s="66"/>
      <c r="BY603" s="66"/>
      <c r="BZ603" s="66"/>
      <c r="CA603" s="66"/>
      <c r="CB603" s="66"/>
      <c r="CC603" s="66"/>
    </row>
    <row r="604" ht="21.0" customHeight="1">
      <c r="A604" s="12"/>
      <c r="B604" s="115"/>
      <c r="C604" s="114"/>
      <c r="D604" s="108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66"/>
      <c r="AX604" s="66"/>
      <c r="AY604" s="66"/>
      <c r="AZ604" s="66"/>
      <c r="BA604" s="66"/>
      <c r="BB604" s="66"/>
      <c r="BC604" s="66"/>
      <c r="BD604" s="66"/>
      <c r="BE604" s="66"/>
      <c r="BF604" s="66"/>
      <c r="BG604" s="66"/>
      <c r="BH604" s="66"/>
      <c r="BI604" s="66"/>
      <c r="BJ604" s="66"/>
      <c r="BK604" s="66"/>
      <c r="BL604" s="66"/>
      <c r="BM604" s="66"/>
      <c r="BN604" s="66"/>
      <c r="BO604" s="66"/>
      <c r="BP604" s="66"/>
      <c r="BQ604" s="66"/>
      <c r="BR604" s="66"/>
      <c r="BS604" s="66"/>
      <c r="BT604" s="66"/>
      <c r="BU604" s="66"/>
      <c r="BV604" s="66"/>
      <c r="BW604" s="66"/>
      <c r="BX604" s="66"/>
      <c r="BY604" s="66"/>
      <c r="BZ604" s="66"/>
      <c r="CA604" s="66"/>
      <c r="CB604" s="66"/>
      <c r="CC604" s="66"/>
    </row>
    <row r="605" ht="21.0" customHeight="1">
      <c r="A605" s="12"/>
      <c r="B605" s="115"/>
      <c r="C605" s="114"/>
      <c r="D605" s="108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66"/>
      <c r="AX605" s="66"/>
      <c r="AY605" s="66"/>
      <c r="AZ605" s="66"/>
      <c r="BA605" s="66"/>
      <c r="BB605" s="66"/>
      <c r="BC605" s="66"/>
      <c r="BD605" s="66"/>
      <c r="BE605" s="66"/>
      <c r="BF605" s="66"/>
      <c r="BG605" s="66"/>
      <c r="BH605" s="66"/>
      <c r="BI605" s="66"/>
      <c r="BJ605" s="66"/>
      <c r="BK605" s="66"/>
      <c r="BL605" s="66"/>
      <c r="BM605" s="66"/>
      <c r="BN605" s="66"/>
      <c r="BO605" s="66"/>
      <c r="BP605" s="66"/>
      <c r="BQ605" s="66"/>
      <c r="BR605" s="66"/>
      <c r="BS605" s="66"/>
      <c r="BT605" s="66"/>
      <c r="BU605" s="66"/>
      <c r="BV605" s="66"/>
      <c r="BW605" s="66"/>
      <c r="BX605" s="66"/>
      <c r="BY605" s="66"/>
      <c r="BZ605" s="66"/>
      <c r="CA605" s="66"/>
      <c r="CB605" s="66"/>
      <c r="CC605" s="66"/>
    </row>
    <row r="606" ht="21.0" customHeight="1">
      <c r="A606" s="12"/>
      <c r="B606" s="115"/>
      <c r="C606" s="114"/>
      <c r="D606" s="108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66"/>
      <c r="AX606" s="66"/>
      <c r="AY606" s="66"/>
      <c r="AZ606" s="66"/>
      <c r="BA606" s="66"/>
      <c r="BB606" s="66"/>
      <c r="BC606" s="66"/>
      <c r="BD606" s="66"/>
      <c r="BE606" s="66"/>
      <c r="BF606" s="66"/>
      <c r="BG606" s="66"/>
      <c r="BH606" s="66"/>
      <c r="BI606" s="66"/>
      <c r="BJ606" s="66"/>
      <c r="BK606" s="66"/>
      <c r="BL606" s="66"/>
      <c r="BM606" s="66"/>
      <c r="BN606" s="66"/>
      <c r="BO606" s="66"/>
      <c r="BP606" s="66"/>
      <c r="BQ606" s="66"/>
      <c r="BR606" s="66"/>
      <c r="BS606" s="66"/>
      <c r="BT606" s="66"/>
      <c r="BU606" s="66"/>
      <c r="BV606" s="66"/>
      <c r="BW606" s="66"/>
      <c r="BX606" s="66"/>
      <c r="BY606" s="66"/>
      <c r="BZ606" s="66"/>
      <c r="CA606" s="66"/>
      <c r="CB606" s="66"/>
      <c r="CC606" s="66"/>
    </row>
    <row r="607" ht="21.0" customHeight="1">
      <c r="A607" s="12"/>
      <c r="B607" s="115"/>
      <c r="C607" s="114"/>
      <c r="D607" s="108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6"/>
      <c r="AW607" s="66"/>
      <c r="AX607" s="66"/>
      <c r="AY607" s="66"/>
      <c r="AZ607" s="66"/>
      <c r="BA607" s="66"/>
      <c r="BB607" s="66"/>
      <c r="BC607" s="66"/>
      <c r="BD607" s="66"/>
      <c r="BE607" s="66"/>
      <c r="BF607" s="66"/>
      <c r="BG607" s="66"/>
      <c r="BH607" s="66"/>
      <c r="BI607" s="66"/>
      <c r="BJ607" s="66"/>
      <c r="BK607" s="66"/>
      <c r="BL607" s="66"/>
      <c r="BM607" s="66"/>
      <c r="BN607" s="66"/>
      <c r="BO607" s="66"/>
      <c r="BP607" s="66"/>
      <c r="BQ607" s="66"/>
      <c r="BR607" s="66"/>
      <c r="BS607" s="66"/>
      <c r="BT607" s="66"/>
      <c r="BU607" s="66"/>
      <c r="BV607" s="66"/>
      <c r="BW607" s="66"/>
      <c r="BX607" s="66"/>
      <c r="BY607" s="66"/>
      <c r="BZ607" s="66"/>
      <c r="CA607" s="66"/>
      <c r="CB607" s="66"/>
      <c r="CC607" s="66"/>
    </row>
    <row r="608" ht="21.0" customHeight="1">
      <c r="A608" s="12"/>
      <c r="B608" s="115"/>
      <c r="C608" s="114"/>
      <c r="D608" s="108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6"/>
      <c r="AW608" s="66"/>
      <c r="AX608" s="66"/>
      <c r="AY608" s="66"/>
      <c r="AZ608" s="66"/>
      <c r="BA608" s="66"/>
      <c r="BB608" s="66"/>
      <c r="BC608" s="66"/>
      <c r="BD608" s="66"/>
      <c r="BE608" s="66"/>
      <c r="BF608" s="66"/>
      <c r="BG608" s="66"/>
      <c r="BH608" s="66"/>
      <c r="BI608" s="66"/>
      <c r="BJ608" s="66"/>
      <c r="BK608" s="66"/>
      <c r="BL608" s="66"/>
      <c r="BM608" s="66"/>
      <c r="BN608" s="66"/>
      <c r="BO608" s="66"/>
      <c r="BP608" s="66"/>
      <c r="BQ608" s="66"/>
      <c r="BR608" s="66"/>
      <c r="BS608" s="66"/>
      <c r="BT608" s="66"/>
      <c r="BU608" s="66"/>
      <c r="BV608" s="66"/>
      <c r="BW608" s="66"/>
      <c r="BX608" s="66"/>
      <c r="BY608" s="66"/>
      <c r="BZ608" s="66"/>
      <c r="CA608" s="66"/>
      <c r="CB608" s="66"/>
      <c r="CC608" s="66"/>
    </row>
    <row r="609" ht="21.0" customHeight="1">
      <c r="A609" s="12"/>
      <c r="B609" s="115"/>
      <c r="C609" s="114"/>
      <c r="D609" s="108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6"/>
      <c r="AW609" s="66"/>
      <c r="AX609" s="66"/>
      <c r="AY609" s="66"/>
      <c r="AZ609" s="66"/>
      <c r="BA609" s="66"/>
      <c r="BB609" s="66"/>
      <c r="BC609" s="66"/>
      <c r="BD609" s="66"/>
      <c r="BE609" s="66"/>
      <c r="BF609" s="66"/>
      <c r="BG609" s="66"/>
      <c r="BH609" s="66"/>
      <c r="BI609" s="66"/>
      <c r="BJ609" s="66"/>
      <c r="BK609" s="66"/>
      <c r="BL609" s="66"/>
      <c r="BM609" s="66"/>
      <c r="BN609" s="66"/>
      <c r="BO609" s="66"/>
      <c r="BP609" s="66"/>
      <c r="BQ609" s="66"/>
      <c r="BR609" s="66"/>
      <c r="BS609" s="66"/>
      <c r="BT609" s="66"/>
      <c r="BU609" s="66"/>
      <c r="BV609" s="66"/>
      <c r="BW609" s="66"/>
      <c r="BX609" s="66"/>
      <c r="BY609" s="66"/>
      <c r="BZ609" s="66"/>
      <c r="CA609" s="66"/>
      <c r="CB609" s="66"/>
      <c r="CC609" s="66"/>
    </row>
    <row r="610" ht="21.0" customHeight="1">
      <c r="A610" s="12"/>
      <c r="B610" s="115"/>
      <c r="C610" s="114"/>
      <c r="D610" s="108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66"/>
      <c r="AU610" s="66"/>
      <c r="AV610" s="66"/>
      <c r="AW610" s="66"/>
      <c r="AX610" s="66"/>
      <c r="AY610" s="66"/>
      <c r="AZ610" s="66"/>
      <c r="BA610" s="66"/>
      <c r="BB610" s="66"/>
      <c r="BC610" s="66"/>
      <c r="BD610" s="66"/>
      <c r="BE610" s="66"/>
      <c r="BF610" s="66"/>
      <c r="BG610" s="66"/>
      <c r="BH610" s="66"/>
      <c r="BI610" s="66"/>
      <c r="BJ610" s="66"/>
      <c r="BK610" s="66"/>
      <c r="BL610" s="66"/>
      <c r="BM610" s="66"/>
      <c r="BN610" s="66"/>
      <c r="BO610" s="66"/>
      <c r="BP610" s="66"/>
      <c r="BQ610" s="66"/>
      <c r="BR610" s="66"/>
      <c r="BS610" s="66"/>
      <c r="BT610" s="66"/>
      <c r="BU610" s="66"/>
      <c r="BV610" s="66"/>
      <c r="BW610" s="66"/>
      <c r="BX610" s="66"/>
      <c r="BY610" s="66"/>
      <c r="BZ610" s="66"/>
      <c r="CA610" s="66"/>
      <c r="CB610" s="66"/>
      <c r="CC610" s="66"/>
    </row>
    <row r="611" ht="21.0" customHeight="1">
      <c r="A611" s="12"/>
      <c r="B611" s="115"/>
      <c r="C611" s="114"/>
      <c r="D611" s="108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66"/>
      <c r="AX611" s="66"/>
      <c r="AY611" s="66"/>
      <c r="AZ611" s="66"/>
      <c r="BA611" s="66"/>
      <c r="BB611" s="66"/>
      <c r="BC611" s="66"/>
      <c r="BD611" s="66"/>
      <c r="BE611" s="66"/>
      <c r="BF611" s="66"/>
      <c r="BG611" s="66"/>
      <c r="BH611" s="66"/>
      <c r="BI611" s="66"/>
      <c r="BJ611" s="66"/>
      <c r="BK611" s="66"/>
      <c r="BL611" s="66"/>
      <c r="BM611" s="66"/>
      <c r="BN611" s="66"/>
      <c r="BO611" s="66"/>
      <c r="BP611" s="66"/>
      <c r="BQ611" s="66"/>
      <c r="BR611" s="66"/>
      <c r="BS611" s="66"/>
      <c r="BT611" s="66"/>
      <c r="BU611" s="66"/>
      <c r="BV611" s="66"/>
      <c r="BW611" s="66"/>
      <c r="BX611" s="66"/>
      <c r="BY611" s="66"/>
      <c r="BZ611" s="66"/>
      <c r="CA611" s="66"/>
      <c r="CB611" s="66"/>
      <c r="CC611" s="66"/>
    </row>
    <row r="612" ht="21.0" customHeight="1">
      <c r="A612" s="12"/>
      <c r="B612" s="115"/>
      <c r="C612" s="114"/>
      <c r="D612" s="108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66"/>
      <c r="AX612" s="66"/>
      <c r="AY612" s="66"/>
      <c r="AZ612" s="66"/>
      <c r="BA612" s="66"/>
      <c r="BB612" s="66"/>
      <c r="BC612" s="66"/>
      <c r="BD612" s="66"/>
      <c r="BE612" s="66"/>
      <c r="BF612" s="66"/>
      <c r="BG612" s="66"/>
      <c r="BH612" s="66"/>
      <c r="BI612" s="66"/>
      <c r="BJ612" s="66"/>
      <c r="BK612" s="66"/>
      <c r="BL612" s="66"/>
      <c r="BM612" s="66"/>
      <c r="BN612" s="66"/>
      <c r="BO612" s="66"/>
      <c r="BP612" s="66"/>
      <c r="BQ612" s="66"/>
      <c r="BR612" s="66"/>
      <c r="BS612" s="66"/>
      <c r="BT612" s="66"/>
      <c r="BU612" s="66"/>
      <c r="BV612" s="66"/>
      <c r="BW612" s="66"/>
      <c r="BX612" s="66"/>
      <c r="BY612" s="66"/>
      <c r="BZ612" s="66"/>
      <c r="CA612" s="66"/>
      <c r="CB612" s="66"/>
      <c r="CC612" s="66"/>
    </row>
    <row r="613" ht="21.0" customHeight="1">
      <c r="A613" s="12"/>
      <c r="B613" s="115"/>
      <c r="C613" s="114"/>
      <c r="D613" s="108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66"/>
      <c r="AU613" s="66"/>
      <c r="AV613" s="66"/>
      <c r="AW613" s="66"/>
      <c r="AX613" s="66"/>
      <c r="AY613" s="66"/>
      <c r="AZ613" s="66"/>
      <c r="BA613" s="66"/>
      <c r="BB613" s="66"/>
      <c r="BC613" s="66"/>
      <c r="BD613" s="66"/>
      <c r="BE613" s="66"/>
      <c r="BF613" s="66"/>
      <c r="BG613" s="66"/>
      <c r="BH613" s="66"/>
      <c r="BI613" s="66"/>
      <c r="BJ613" s="66"/>
      <c r="BK613" s="66"/>
      <c r="BL613" s="66"/>
      <c r="BM613" s="66"/>
      <c r="BN613" s="66"/>
      <c r="BO613" s="66"/>
      <c r="BP613" s="66"/>
      <c r="BQ613" s="66"/>
      <c r="BR613" s="66"/>
      <c r="BS613" s="66"/>
      <c r="BT613" s="66"/>
      <c r="BU613" s="66"/>
      <c r="BV613" s="66"/>
      <c r="BW613" s="66"/>
      <c r="BX613" s="66"/>
      <c r="BY613" s="66"/>
      <c r="BZ613" s="66"/>
      <c r="CA613" s="66"/>
      <c r="CB613" s="66"/>
      <c r="CC613" s="66"/>
    </row>
    <row r="614" ht="21.0" customHeight="1">
      <c r="A614" s="12"/>
      <c r="B614" s="115"/>
      <c r="C614" s="114"/>
      <c r="D614" s="108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66"/>
      <c r="AU614" s="66"/>
      <c r="AV614" s="66"/>
      <c r="AW614" s="66"/>
      <c r="AX614" s="66"/>
      <c r="AY614" s="66"/>
      <c r="AZ614" s="66"/>
      <c r="BA614" s="66"/>
      <c r="BB614" s="66"/>
      <c r="BC614" s="66"/>
      <c r="BD614" s="66"/>
      <c r="BE614" s="66"/>
      <c r="BF614" s="66"/>
      <c r="BG614" s="66"/>
      <c r="BH614" s="66"/>
      <c r="BI614" s="66"/>
      <c r="BJ614" s="66"/>
      <c r="BK614" s="66"/>
      <c r="BL614" s="66"/>
      <c r="BM614" s="66"/>
      <c r="BN614" s="66"/>
      <c r="BO614" s="66"/>
      <c r="BP614" s="66"/>
      <c r="BQ614" s="66"/>
      <c r="BR614" s="66"/>
      <c r="BS614" s="66"/>
      <c r="BT614" s="66"/>
      <c r="BU614" s="66"/>
      <c r="BV614" s="66"/>
      <c r="BW614" s="66"/>
      <c r="BX614" s="66"/>
      <c r="BY614" s="66"/>
      <c r="BZ614" s="66"/>
      <c r="CA614" s="66"/>
      <c r="CB614" s="66"/>
      <c r="CC614" s="66"/>
    </row>
    <row r="615" ht="21.0" customHeight="1">
      <c r="A615" s="12"/>
      <c r="B615" s="115"/>
      <c r="C615" s="114"/>
      <c r="D615" s="108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66"/>
      <c r="AU615" s="66"/>
      <c r="AV615" s="66"/>
      <c r="AW615" s="66"/>
      <c r="AX615" s="66"/>
      <c r="AY615" s="66"/>
      <c r="AZ615" s="66"/>
      <c r="BA615" s="66"/>
      <c r="BB615" s="66"/>
      <c r="BC615" s="66"/>
      <c r="BD615" s="66"/>
      <c r="BE615" s="66"/>
      <c r="BF615" s="66"/>
      <c r="BG615" s="66"/>
      <c r="BH615" s="66"/>
      <c r="BI615" s="66"/>
      <c r="BJ615" s="66"/>
      <c r="BK615" s="66"/>
      <c r="BL615" s="66"/>
      <c r="BM615" s="66"/>
      <c r="BN615" s="66"/>
      <c r="BO615" s="66"/>
      <c r="BP615" s="66"/>
      <c r="BQ615" s="66"/>
      <c r="BR615" s="66"/>
      <c r="BS615" s="66"/>
      <c r="BT615" s="66"/>
      <c r="BU615" s="66"/>
      <c r="BV615" s="66"/>
      <c r="BW615" s="66"/>
      <c r="BX615" s="66"/>
      <c r="BY615" s="66"/>
      <c r="BZ615" s="66"/>
      <c r="CA615" s="66"/>
      <c r="CB615" s="66"/>
      <c r="CC615" s="66"/>
    </row>
    <row r="616" ht="21.0" customHeight="1">
      <c r="A616" s="12"/>
      <c r="B616" s="115"/>
      <c r="C616" s="114"/>
      <c r="D616" s="108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66"/>
      <c r="AU616" s="66"/>
      <c r="AV616" s="66"/>
      <c r="AW616" s="66"/>
      <c r="AX616" s="66"/>
      <c r="AY616" s="66"/>
      <c r="AZ616" s="66"/>
      <c r="BA616" s="66"/>
      <c r="BB616" s="66"/>
      <c r="BC616" s="66"/>
      <c r="BD616" s="66"/>
      <c r="BE616" s="66"/>
      <c r="BF616" s="66"/>
      <c r="BG616" s="66"/>
      <c r="BH616" s="66"/>
      <c r="BI616" s="66"/>
      <c r="BJ616" s="66"/>
      <c r="BK616" s="66"/>
      <c r="BL616" s="66"/>
      <c r="BM616" s="66"/>
      <c r="BN616" s="66"/>
      <c r="BO616" s="66"/>
      <c r="BP616" s="66"/>
      <c r="BQ616" s="66"/>
      <c r="BR616" s="66"/>
      <c r="BS616" s="66"/>
      <c r="BT616" s="66"/>
      <c r="BU616" s="66"/>
      <c r="BV616" s="66"/>
      <c r="BW616" s="66"/>
      <c r="BX616" s="66"/>
      <c r="BY616" s="66"/>
      <c r="BZ616" s="66"/>
      <c r="CA616" s="66"/>
      <c r="CB616" s="66"/>
      <c r="CC616" s="66"/>
    </row>
    <row r="617" ht="21.0" customHeight="1">
      <c r="A617" s="12"/>
      <c r="B617" s="115"/>
      <c r="C617" s="114"/>
      <c r="D617" s="108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66"/>
      <c r="AU617" s="66"/>
      <c r="AV617" s="66"/>
      <c r="AW617" s="66"/>
      <c r="AX617" s="66"/>
      <c r="AY617" s="66"/>
      <c r="AZ617" s="66"/>
      <c r="BA617" s="66"/>
      <c r="BB617" s="66"/>
      <c r="BC617" s="66"/>
      <c r="BD617" s="66"/>
      <c r="BE617" s="66"/>
      <c r="BF617" s="66"/>
      <c r="BG617" s="66"/>
      <c r="BH617" s="66"/>
      <c r="BI617" s="66"/>
      <c r="BJ617" s="66"/>
      <c r="BK617" s="66"/>
      <c r="BL617" s="66"/>
      <c r="BM617" s="66"/>
      <c r="BN617" s="66"/>
      <c r="BO617" s="66"/>
      <c r="BP617" s="66"/>
      <c r="BQ617" s="66"/>
      <c r="BR617" s="66"/>
      <c r="BS617" s="66"/>
      <c r="BT617" s="66"/>
      <c r="BU617" s="66"/>
      <c r="BV617" s="66"/>
      <c r="BW617" s="66"/>
      <c r="BX617" s="66"/>
      <c r="BY617" s="66"/>
      <c r="BZ617" s="66"/>
      <c r="CA617" s="66"/>
      <c r="CB617" s="66"/>
      <c r="CC617" s="66"/>
    </row>
    <row r="618" ht="21.0" customHeight="1">
      <c r="A618" s="12"/>
      <c r="B618" s="115"/>
      <c r="C618" s="114"/>
      <c r="D618" s="108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66"/>
      <c r="AU618" s="66"/>
      <c r="AV618" s="66"/>
      <c r="AW618" s="66"/>
      <c r="AX618" s="66"/>
      <c r="AY618" s="66"/>
      <c r="AZ618" s="66"/>
      <c r="BA618" s="66"/>
      <c r="BB618" s="66"/>
      <c r="BC618" s="66"/>
      <c r="BD618" s="66"/>
      <c r="BE618" s="66"/>
      <c r="BF618" s="66"/>
      <c r="BG618" s="66"/>
      <c r="BH618" s="66"/>
      <c r="BI618" s="66"/>
      <c r="BJ618" s="66"/>
      <c r="BK618" s="66"/>
      <c r="BL618" s="66"/>
      <c r="BM618" s="66"/>
      <c r="BN618" s="66"/>
      <c r="BO618" s="66"/>
      <c r="BP618" s="66"/>
      <c r="BQ618" s="66"/>
      <c r="BR618" s="66"/>
      <c r="BS618" s="66"/>
      <c r="BT618" s="66"/>
      <c r="BU618" s="66"/>
      <c r="BV618" s="66"/>
      <c r="BW618" s="66"/>
      <c r="BX618" s="66"/>
      <c r="BY618" s="66"/>
      <c r="BZ618" s="66"/>
      <c r="CA618" s="66"/>
      <c r="CB618" s="66"/>
      <c r="CC618" s="66"/>
    </row>
    <row r="619" ht="21.0" customHeight="1">
      <c r="A619" s="12"/>
      <c r="B619" s="115"/>
      <c r="C619" s="114"/>
      <c r="D619" s="108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66"/>
      <c r="AU619" s="66"/>
      <c r="AV619" s="66"/>
      <c r="AW619" s="66"/>
      <c r="AX619" s="66"/>
      <c r="AY619" s="66"/>
      <c r="AZ619" s="66"/>
      <c r="BA619" s="66"/>
      <c r="BB619" s="66"/>
      <c r="BC619" s="66"/>
      <c r="BD619" s="66"/>
      <c r="BE619" s="66"/>
      <c r="BF619" s="66"/>
      <c r="BG619" s="66"/>
      <c r="BH619" s="66"/>
      <c r="BI619" s="66"/>
      <c r="BJ619" s="66"/>
      <c r="BK619" s="66"/>
      <c r="BL619" s="66"/>
      <c r="BM619" s="66"/>
      <c r="BN619" s="66"/>
      <c r="BO619" s="66"/>
      <c r="BP619" s="66"/>
      <c r="BQ619" s="66"/>
      <c r="BR619" s="66"/>
      <c r="BS619" s="66"/>
      <c r="BT619" s="66"/>
      <c r="BU619" s="66"/>
      <c r="BV619" s="66"/>
      <c r="BW619" s="66"/>
      <c r="BX619" s="66"/>
      <c r="BY619" s="66"/>
      <c r="BZ619" s="66"/>
      <c r="CA619" s="66"/>
      <c r="CB619" s="66"/>
      <c r="CC619" s="66"/>
    </row>
    <row r="620" ht="21.0" customHeight="1">
      <c r="A620" s="12"/>
      <c r="B620" s="115"/>
      <c r="C620" s="114"/>
      <c r="D620" s="108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66"/>
      <c r="AU620" s="66"/>
      <c r="AV620" s="66"/>
      <c r="AW620" s="66"/>
      <c r="AX620" s="66"/>
      <c r="AY620" s="66"/>
      <c r="AZ620" s="66"/>
      <c r="BA620" s="66"/>
      <c r="BB620" s="66"/>
      <c r="BC620" s="66"/>
      <c r="BD620" s="66"/>
      <c r="BE620" s="66"/>
      <c r="BF620" s="66"/>
      <c r="BG620" s="66"/>
      <c r="BH620" s="66"/>
      <c r="BI620" s="66"/>
      <c r="BJ620" s="66"/>
      <c r="BK620" s="66"/>
      <c r="BL620" s="66"/>
      <c r="BM620" s="66"/>
      <c r="BN620" s="66"/>
      <c r="BO620" s="66"/>
      <c r="BP620" s="66"/>
      <c r="BQ620" s="66"/>
      <c r="BR620" s="66"/>
      <c r="BS620" s="66"/>
      <c r="BT620" s="66"/>
      <c r="BU620" s="66"/>
      <c r="BV620" s="66"/>
      <c r="BW620" s="66"/>
      <c r="BX620" s="66"/>
      <c r="BY620" s="66"/>
      <c r="BZ620" s="66"/>
      <c r="CA620" s="66"/>
      <c r="CB620" s="66"/>
      <c r="CC620" s="66"/>
    </row>
  </sheetData>
  <mergeCells count="1">
    <mergeCell ref="C5:D5"/>
  </mergeCells>
  <conditionalFormatting sqref="C1:C620 B172:B205 B216 B219">
    <cfRule type="cellIs" dxfId="0" priority="1" operator="equal">
      <formula>0</formula>
    </cfRule>
  </conditionalFormatting>
  <conditionalFormatting sqref="C1:C620 B172:B205 B216 B219">
    <cfRule type="cellIs" dxfId="0" priority="2" operator="equal">
      <formula>0</formula>
    </cfRule>
  </conditionalFormatting>
  <conditionalFormatting sqref="B1:C546 D1:D343">
    <cfRule type="colorScale" priority="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5">
      <formula1>'SMPS 재고 현황'!$H:$H</formula1>
    </dataValidation>
  </dataValidations>
  <drawing r:id="rId1"/>
</worksheet>
</file>