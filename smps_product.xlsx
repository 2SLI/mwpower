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MPS 재고" sheetId="1" r:id="rId4"/>
    <sheet state="visible" name="재고 백업" sheetId="2" r:id="rId5"/>
    <sheet state="hidden" name="SMPS 재고 현황" sheetId="3" r:id="rId6"/>
  </sheets>
  <definedNames/>
  <calcPr/>
</workbook>
</file>

<file path=xl/sharedStrings.xml><?xml version="1.0" encoding="utf-8"?>
<sst xmlns="http://schemas.openxmlformats.org/spreadsheetml/2006/main" count="1699" uniqueCount="823">
  <si>
    <t>.</t>
  </si>
  <si>
    <t>SMPS 재고</t>
  </si>
  <si>
    <t>오전 9:00:00 최신화</t>
  </si>
  <si>
    <t>모델명</t>
  </si>
  <si>
    <t>수량</t>
  </si>
  <si>
    <t>ADS 시리즈</t>
  </si>
  <si>
    <t>ADS-15512</t>
  </si>
  <si>
    <t>APV 시리즈</t>
  </si>
  <si>
    <t>APV-12-12</t>
  </si>
  <si>
    <t>APV-12-24</t>
  </si>
  <si>
    <t>CSP 시리즈</t>
  </si>
  <si>
    <t>CSP-3000-120</t>
  </si>
  <si>
    <t>CSP-3000-400</t>
  </si>
  <si>
    <t>DBU시리즈</t>
  </si>
  <si>
    <t>DBU-3200-48</t>
  </si>
  <si>
    <t>DDR 시리즈</t>
  </si>
  <si>
    <t>DDR-15G-3.3</t>
  </si>
  <si>
    <t>DDR-15G-5</t>
  </si>
  <si>
    <t>DDR-15G-12</t>
  </si>
  <si>
    <t>ㅛㅕㅕㅑㅕㅛㅑㅛㅕㅑ</t>
  </si>
  <si>
    <t>DDR-15G-15</t>
  </si>
  <si>
    <t>DDR-15G-24</t>
  </si>
  <si>
    <t>ㅛㅕㅑㅛㅕㅑㅛㅕㅑ</t>
  </si>
  <si>
    <t>DDR-15L-5</t>
  </si>
  <si>
    <t>DDR-15L-12</t>
  </si>
  <si>
    <t>DDR-15L-24</t>
  </si>
  <si>
    <t>DDR-30G-5</t>
  </si>
  <si>
    <t>DDR-30G-12</t>
  </si>
  <si>
    <t>DDR-30G-24</t>
  </si>
  <si>
    <t>DDR-30L-5</t>
  </si>
  <si>
    <t>DDR-30L-12</t>
  </si>
  <si>
    <t>DDR-30L-24</t>
  </si>
  <si>
    <t>DDR-60G-5</t>
  </si>
  <si>
    <t>DDR-60G-12</t>
  </si>
  <si>
    <t>DDR-60G-24</t>
  </si>
  <si>
    <t>DDR-60L-5</t>
  </si>
  <si>
    <t>DDR-60L-12</t>
  </si>
  <si>
    <t>DDR-60L-15</t>
  </si>
  <si>
    <t>DDR-60L-24</t>
  </si>
  <si>
    <t>DDR-120A-12</t>
  </si>
  <si>
    <t>DDR-120A-48</t>
  </si>
  <si>
    <t>DDR-120B-12</t>
  </si>
  <si>
    <t>DDR-120B-24</t>
  </si>
  <si>
    <t>DDR-120C-12</t>
  </si>
  <si>
    <t>DDR-120C-24</t>
  </si>
  <si>
    <t>DDR-120C-48</t>
  </si>
  <si>
    <t>DDR-120D-24</t>
  </si>
  <si>
    <t>DDR-240B-24</t>
  </si>
  <si>
    <t>DDR-240C-24</t>
  </si>
  <si>
    <t>DDR-480B-24</t>
  </si>
  <si>
    <t>DDR-480C-12</t>
  </si>
  <si>
    <t>DDR-480C-24</t>
  </si>
  <si>
    <t>DPU 시리즈</t>
  </si>
  <si>
    <t>DPU-3200-24</t>
  </si>
  <si>
    <t>DPU-3200-48</t>
  </si>
  <si>
    <t>DUBW 시리즈</t>
  </si>
  <si>
    <t>DPBW06F-15</t>
  </si>
  <si>
    <t>DUPN 시리즈</t>
  </si>
  <si>
    <t>DPUN02L-15</t>
  </si>
  <si>
    <t>DRA시리즈</t>
  </si>
  <si>
    <t>DRA-40-12</t>
  </si>
  <si>
    <t>DRA-40-24</t>
  </si>
  <si>
    <t>DRA-60-12</t>
  </si>
  <si>
    <t>DRA-60-24</t>
  </si>
  <si>
    <t>DRC시리즈</t>
  </si>
  <si>
    <t>DRC-180A</t>
  </si>
  <si>
    <t>DRC-180B</t>
  </si>
  <si>
    <t>DRDN시리즈</t>
  </si>
  <si>
    <t>DRDN20-24</t>
  </si>
  <si>
    <t>DRDN40-12</t>
  </si>
  <si>
    <t>DRDN40-24</t>
  </si>
  <si>
    <t>DUPS 시리즈</t>
  </si>
  <si>
    <t>DUPS20</t>
  </si>
  <si>
    <t>DUPS40</t>
  </si>
  <si>
    <t>EDR 시리즈</t>
  </si>
  <si>
    <t>EDR-75-12</t>
  </si>
  <si>
    <t>EDR-75-24</t>
  </si>
  <si>
    <t>EDR-75-48</t>
  </si>
  <si>
    <t>EDR-120-12</t>
  </si>
  <si>
    <t>EDR-120-24</t>
  </si>
  <si>
    <t>EDR-150-24</t>
  </si>
  <si>
    <t>ELG 시리즈</t>
  </si>
  <si>
    <t>ELG-75-12A</t>
  </si>
  <si>
    <t>ELG-75-24A-3Y</t>
  </si>
  <si>
    <t>ELG-100-24A-3Y</t>
  </si>
  <si>
    <t>ELG-100-36A-3Y</t>
  </si>
  <si>
    <t>ELG-150-12A</t>
  </si>
  <si>
    <t>ELG-150-12A-3Y</t>
  </si>
  <si>
    <t>ELG-150-24A-3Y</t>
  </si>
  <si>
    <t>ELG-150-36A-3Y</t>
  </si>
  <si>
    <t>ELG-150-48A-3Y</t>
  </si>
  <si>
    <t>ELG-200-12A</t>
  </si>
  <si>
    <t>ELG-240-24A-3Y</t>
  </si>
  <si>
    <t>ELG-300-12A</t>
  </si>
  <si>
    <t>ELG-300-24A</t>
  </si>
  <si>
    <t>ELG-300-24A-3Y</t>
  </si>
  <si>
    <t>EPP 시리즈</t>
  </si>
  <si>
    <t>EPP-150-12</t>
  </si>
  <si>
    <t>EPP-150-24</t>
  </si>
  <si>
    <t>EPP-200-12</t>
  </si>
  <si>
    <t>EPP-200-24</t>
  </si>
  <si>
    <t>EPP-200-27</t>
  </si>
  <si>
    <t>EPP-300-12</t>
  </si>
  <si>
    <t>EPP-300-24</t>
  </si>
  <si>
    <t>EPP-500-12</t>
  </si>
  <si>
    <t>EPP-500-27</t>
  </si>
  <si>
    <t>EPS 시리즈</t>
  </si>
  <si>
    <t>EPS-15-5</t>
  </si>
  <si>
    <t>EPS-15-12</t>
  </si>
  <si>
    <t>EPS-35-12</t>
  </si>
  <si>
    <t>EPS-35-15</t>
  </si>
  <si>
    <t>EPS-35-24</t>
  </si>
  <si>
    <t>EPS-35-36</t>
  </si>
  <si>
    <t>EPS-45-12</t>
  </si>
  <si>
    <t>EPS-45-24</t>
  </si>
  <si>
    <t>EPS-45-48</t>
  </si>
  <si>
    <t>EPS-45S-12</t>
  </si>
  <si>
    <t>EPS-65-12</t>
  </si>
  <si>
    <t>EPS-65-12-C</t>
  </si>
  <si>
    <t>EPS-65-24</t>
  </si>
  <si>
    <t>EPS-65-24-C</t>
  </si>
  <si>
    <t>EPS-65-36</t>
  </si>
  <si>
    <t>EPS-65-48</t>
  </si>
  <si>
    <t>EPS-65S-5</t>
  </si>
  <si>
    <t>EPS-65S-12</t>
  </si>
  <si>
    <t>EPS-65S-15</t>
  </si>
  <si>
    <t>EPS-120-12</t>
  </si>
  <si>
    <t>EPS-120-24</t>
  </si>
  <si>
    <t>EPS-120-27</t>
  </si>
  <si>
    <t>ERDN 시리즈</t>
  </si>
  <si>
    <t>ERDN20-24</t>
  </si>
  <si>
    <t>ERDN40-24</t>
  </si>
  <si>
    <t>ERP 시리즈</t>
  </si>
  <si>
    <t>ERP-350-12</t>
  </si>
  <si>
    <t>GST 시리즈</t>
  </si>
  <si>
    <t>GST280A24-C6P</t>
  </si>
  <si>
    <t>GST360A36-C6P</t>
  </si>
  <si>
    <t>GST360A48-C6P</t>
  </si>
  <si>
    <t>GST60A12-P1J</t>
  </si>
  <si>
    <t>GST60A24-P1J</t>
  </si>
  <si>
    <t>GST160A24-R7B</t>
  </si>
  <si>
    <t>HDR 시리즈</t>
  </si>
  <si>
    <t>HDR-15-5</t>
  </si>
  <si>
    <t>HDR-15-12</t>
  </si>
  <si>
    <t>HDR-15-15</t>
  </si>
  <si>
    <t>HDR-15-24</t>
  </si>
  <si>
    <t>HDR-30-5</t>
  </si>
  <si>
    <t>HDR-30-12</t>
  </si>
  <si>
    <t>HDR-30-15</t>
  </si>
  <si>
    <t>HDR-30-24</t>
  </si>
  <si>
    <t>HDR-30-48</t>
  </si>
  <si>
    <t>HDR-60-5</t>
  </si>
  <si>
    <t>HDR-60-12</t>
  </si>
  <si>
    <t>HDR-60-15</t>
  </si>
  <si>
    <t>HDR-60-24</t>
  </si>
  <si>
    <t>HDR-60-48</t>
  </si>
  <si>
    <t>HDR-100-12</t>
  </si>
  <si>
    <t>HDR-100-15</t>
  </si>
  <si>
    <t>HDR-100-24</t>
  </si>
  <si>
    <t>HDR-100-48</t>
  </si>
  <si>
    <t>HDR-150-12</t>
  </si>
  <si>
    <t>HDR-150-15</t>
  </si>
  <si>
    <t>HDR-150-24</t>
  </si>
  <si>
    <t>HDR-150-48</t>
  </si>
  <si>
    <t>HBG 시리즈</t>
  </si>
  <si>
    <t>HBG-100P-48A</t>
  </si>
  <si>
    <t>HEP 시리즈</t>
  </si>
  <si>
    <t>HEP-480-24</t>
  </si>
  <si>
    <t>HEP-480-24A</t>
  </si>
  <si>
    <t>HEP-1000-24</t>
  </si>
  <si>
    <t>HLG 시리즈</t>
  </si>
  <si>
    <t>HLG-40H-12</t>
  </si>
  <si>
    <t>HLG-40H-24</t>
  </si>
  <si>
    <t>HLG-60H-36A</t>
  </si>
  <si>
    <t>HLG-80H-12</t>
  </si>
  <si>
    <t>HLG-100H-24A</t>
  </si>
  <si>
    <t>HLG-120H-12A</t>
  </si>
  <si>
    <t>HLG-120H-15A</t>
  </si>
  <si>
    <t>HLG-120H-48B</t>
  </si>
  <si>
    <t>HLG-150H-24A</t>
  </si>
  <si>
    <t>HLG-150H-30</t>
  </si>
  <si>
    <t>HLG-150H-30A</t>
  </si>
  <si>
    <t>HLG-150H-36A</t>
  </si>
  <si>
    <t>HLG-150H-48B</t>
  </si>
  <si>
    <t>HLG-185H-24</t>
  </si>
  <si>
    <t>HLG-185H-24A</t>
  </si>
  <si>
    <t>HLG-185H-36</t>
  </si>
  <si>
    <t>HLG-185H-36A</t>
  </si>
  <si>
    <t>HLG-185H-48B</t>
  </si>
  <si>
    <t>HLG-240H-24A</t>
  </si>
  <si>
    <t>HLG-240H-24AB</t>
  </si>
  <si>
    <t>HLG-240H-36A</t>
  </si>
  <si>
    <t>HLG-320H-24A</t>
  </si>
  <si>
    <t>HLG-320H-24AB</t>
  </si>
  <si>
    <t>HLG-320H-30A</t>
  </si>
  <si>
    <t>HLG-480H-24A</t>
  </si>
  <si>
    <t>HLG-600H-12A</t>
  </si>
  <si>
    <t>HLG-600H-24A</t>
  </si>
  <si>
    <t>HLG-600H-48A</t>
  </si>
  <si>
    <t>HLG-600H-54AB</t>
  </si>
  <si>
    <t>HLG-600H-54B</t>
  </si>
  <si>
    <t>HRP 시리즈</t>
  </si>
  <si>
    <t>HRP-75-5</t>
  </si>
  <si>
    <t>HRP-75-12</t>
  </si>
  <si>
    <t>HRP-75-24</t>
  </si>
  <si>
    <t>HRP-100-15</t>
  </si>
  <si>
    <t>HRP-100-24</t>
  </si>
  <si>
    <t>HRP-150-3.3</t>
  </si>
  <si>
    <t>HRP-150-7.5</t>
  </si>
  <si>
    <t>HRP-150-12</t>
  </si>
  <si>
    <t>HRP-150-15</t>
  </si>
  <si>
    <t>HRP-150-24</t>
  </si>
  <si>
    <t>HRP-300-12</t>
  </si>
  <si>
    <t>HRP-200-12</t>
  </si>
  <si>
    <t>HRP-200-24</t>
  </si>
  <si>
    <t>HRP-300-15</t>
  </si>
  <si>
    <t>HRP-300-24</t>
  </si>
  <si>
    <t>HRP-450-24</t>
  </si>
  <si>
    <t>HRP-600-12</t>
  </si>
  <si>
    <t>HRP-600-15</t>
  </si>
  <si>
    <t>HRP-600-24</t>
  </si>
  <si>
    <t>HRP-600-48</t>
  </si>
  <si>
    <t>HRPG 시리즈</t>
  </si>
  <si>
    <t>HRPG-150-5</t>
  </si>
  <si>
    <t>HRPG-1000-12</t>
  </si>
  <si>
    <t>HRPG-1000-24</t>
  </si>
  <si>
    <t>HRPG-1000-48</t>
  </si>
  <si>
    <t>HVGC 시리즈</t>
  </si>
  <si>
    <t>HVG-100-20A</t>
  </si>
  <si>
    <t>HVGC-650-U-AB</t>
  </si>
  <si>
    <t>IRM 시리즈</t>
  </si>
  <si>
    <t>IRM-01-12</t>
  </si>
  <si>
    <t>IRM-02-5</t>
  </si>
  <si>
    <t>IRM-02-15</t>
  </si>
  <si>
    <t>IRM-03-5</t>
  </si>
  <si>
    <t>IRM-03-12</t>
  </si>
  <si>
    <t>IRM-03-15</t>
  </si>
  <si>
    <t>IRM-05-5</t>
  </si>
  <si>
    <t>IRM-05-12</t>
  </si>
  <si>
    <t>IRM-05-24</t>
  </si>
  <si>
    <t>IRM-10-5</t>
  </si>
  <si>
    <t>IRM-10-12</t>
  </si>
  <si>
    <t>IRM-10-15</t>
  </si>
  <si>
    <t>IRM-10-24</t>
  </si>
  <si>
    <t>IRM-15-5</t>
  </si>
  <si>
    <t>IRM-15-12</t>
  </si>
  <si>
    <t>IRM-15-24</t>
  </si>
  <si>
    <t>IRM-20-5</t>
  </si>
  <si>
    <t>IRM-20-12</t>
  </si>
  <si>
    <t>IRM-20-15</t>
  </si>
  <si>
    <t>IRM-20-24</t>
  </si>
  <si>
    <t>IRM-30-5</t>
  </si>
  <si>
    <t>IRM-30-12</t>
  </si>
  <si>
    <t>IRM-30-15</t>
  </si>
  <si>
    <t>IRM-30-24</t>
  </si>
  <si>
    <t>IRM-30-48</t>
  </si>
  <si>
    <t>IRM-45-12</t>
  </si>
  <si>
    <t>IRM-45-12ST</t>
  </si>
  <si>
    <t>IRM-45-15</t>
  </si>
  <si>
    <t>IRM-45-24</t>
  </si>
  <si>
    <t>IRM-45-48</t>
  </si>
  <si>
    <t>IRM-60-12</t>
  </si>
  <si>
    <t>IRM-60-15</t>
  </si>
  <si>
    <t>IRM-60-24</t>
  </si>
  <si>
    <t>IRM-60-48</t>
  </si>
  <si>
    <t>IRM-90-12</t>
  </si>
  <si>
    <t>IRM-90-24</t>
  </si>
  <si>
    <t>LOP시리즈</t>
  </si>
  <si>
    <t>LOP-200-12</t>
  </si>
  <si>
    <t>LOP-200-15</t>
  </si>
  <si>
    <t>LOP-200-24</t>
  </si>
  <si>
    <t>LOP-200-48</t>
  </si>
  <si>
    <t>LOP-300-12</t>
  </si>
  <si>
    <t>LOP-300-24</t>
  </si>
  <si>
    <t>LOP-300-36</t>
  </si>
  <si>
    <t>LOP-300-48</t>
  </si>
  <si>
    <t>LOP-400-12</t>
  </si>
  <si>
    <t>LOP-400-24</t>
  </si>
  <si>
    <t>LOP-500-12</t>
  </si>
  <si>
    <t>LOP-500-24</t>
  </si>
  <si>
    <t>LOP-600-12</t>
  </si>
  <si>
    <t>LOP-600-24</t>
  </si>
  <si>
    <t>LOP-600-48</t>
  </si>
  <si>
    <t>LPC시리즈</t>
  </si>
  <si>
    <t>LPC-20-700</t>
  </si>
  <si>
    <t>LPH시리즈</t>
  </si>
  <si>
    <t>LPH-18-24</t>
  </si>
  <si>
    <t>LRS시리즈</t>
  </si>
  <si>
    <t>LRS-35-5</t>
  </si>
  <si>
    <t>LRS-35-12</t>
  </si>
  <si>
    <t>LRS-35-15</t>
  </si>
  <si>
    <t>LRS-35-24</t>
  </si>
  <si>
    <t>LRS-35-36</t>
  </si>
  <si>
    <t>LRS-35-48</t>
  </si>
  <si>
    <t>LRS-50-3.3</t>
  </si>
  <si>
    <t>LRS-50-5</t>
  </si>
  <si>
    <t>LRS-50-12</t>
  </si>
  <si>
    <t>LRS-50-15</t>
  </si>
  <si>
    <t>LRS-50-24</t>
  </si>
  <si>
    <t>LRS-50-36</t>
  </si>
  <si>
    <t>LRS-50-48</t>
  </si>
  <si>
    <t>LRS-75-5</t>
  </si>
  <si>
    <t>LRS-75-12</t>
  </si>
  <si>
    <t>LRS-75-15</t>
  </si>
  <si>
    <t>LRS-75-36</t>
  </si>
  <si>
    <t>LRS-75-48</t>
  </si>
  <si>
    <t>LRS-75-24</t>
  </si>
  <si>
    <t>LRS-100-3.3</t>
  </si>
  <si>
    <t>LRS-100-5</t>
  </si>
  <si>
    <t>LRS-100-12</t>
  </si>
  <si>
    <t>LRS-100-15</t>
  </si>
  <si>
    <t>LRS-100-24</t>
  </si>
  <si>
    <t>LRS-100-36</t>
  </si>
  <si>
    <t>LRS-100-48</t>
  </si>
  <si>
    <t>LRS-150F-5</t>
  </si>
  <si>
    <t>LRS-150F-12</t>
  </si>
  <si>
    <t>LRS-150F-15</t>
  </si>
  <si>
    <t>LRS-150F-24</t>
  </si>
  <si>
    <t>LRS-150F-36</t>
  </si>
  <si>
    <t>LRS-150F-48</t>
  </si>
  <si>
    <t>LRS-150-12</t>
  </si>
  <si>
    <t>LRS-150-15</t>
  </si>
  <si>
    <t>LRS-150-24</t>
  </si>
  <si>
    <t>LRS-150-36</t>
  </si>
  <si>
    <t>LRS-150-48</t>
  </si>
  <si>
    <t>LRS-200-3.3</t>
  </si>
  <si>
    <t>LRS-200-5</t>
  </si>
  <si>
    <t>LRS-200-12</t>
  </si>
  <si>
    <t>LRS-200-15</t>
  </si>
  <si>
    <t>LRS-200-24</t>
  </si>
  <si>
    <t>LRS-200-36</t>
  </si>
  <si>
    <t>LRS-200-48</t>
  </si>
  <si>
    <t>LRS-350-5</t>
  </si>
  <si>
    <t>LRS-350-12</t>
  </si>
  <si>
    <t>LRS-450-5</t>
  </si>
  <si>
    <t>LRS-350-15</t>
  </si>
  <si>
    <t>LRS-350-24</t>
  </si>
  <si>
    <t>LRS-350-36</t>
  </si>
  <si>
    <t>LRS-350-48</t>
  </si>
  <si>
    <t>LRS-450-12</t>
  </si>
  <si>
    <t>LRS-450-15</t>
  </si>
  <si>
    <t>LRS-450-24</t>
  </si>
  <si>
    <t>LRS-450-36</t>
  </si>
  <si>
    <t>LRS-450-48</t>
  </si>
  <si>
    <t>LRS-600-5</t>
  </si>
  <si>
    <t>LRS-600-12</t>
  </si>
  <si>
    <t>LRS-600-15</t>
  </si>
  <si>
    <t>LRS-600-27</t>
  </si>
  <si>
    <t>LRS-600-24</t>
  </si>
  <si>
    <t>LRS-600-36</t>
  </si>
  <si>
    <t>LRS-600-48</t>
  </si>
  <si>
    <t>LRS-1200-12</t>
  </si>
  <si>
    <t>LRS-1200-24</t>
  </si>
  <si>
    <t>LRS-1200-36</t>
  </si>
  <si>
    <t>LRS-1200-48</t>
  </si>
  <si>
    <t>MDR 시리즈</t>
  </si>
  <si>
    <t>MDR-10-5</t>
  </si>
  <si>
    <t>MDR-10-12</t>
  </si>
  <si>
    <t>MDR-10-15</t>
  </si>
  <si>
    <t>MDR-10-24</t>
  </si>
  <si>
    <t>MDR-20-5</t>
  </si>
  <si>
    <t>MDR-20-12</t>
  </si>
  <si>
    <t>MDR-20-15</t>
  </si>
  <si>
    <t>MDR-20-24</t>
  </si>
  <si>
    <t>MDR-40-5</t>
  </si>
  <si>
    <t>MDR-40-12</t>
  </si>
  <si>
    <t>MDR-40-24</t>
  </si>
  <si>
    <t>MDR-40-48</t>
  </si>
  <si>
    <t>MDR-60-5</t>
  </si>
  <si>
    <t>MDR-60-12</t>
  </si>
  <si>
    <t>MDR-60-24</t>
  </si>
  <si>
    <t>MDR-60-48</t>
  </si>
  <si>
    <t>MDR-100-12</t>
  </si>
  <si>
    <t>MDR-100-24</t>
  </si>
  <si>
    <t>MDR-100-48</t>
  </si>
  <si>
    <t>MFM 시리즈</t>
  </si>
  <si>
    <t>MFM-05-5</t>
  </si>
  <si>
    <t>MFM-05-12</t>
  </si>
  <si>
    <t>MFM-15-15</t>
  </si>
  <si>
    <t>MFM-20-12</t>
  </si>
  <si>
    <t>MFM-30-5</t>
  </si>
  <si>
    <t>MSP 시리즈</t>
  </si>
  <si>
    <t>MSP-100-12</t>
  </si>
  <si>
    <t>MSP-100-15</t>
  </si>
  <si>
    <t>MSP-100-24</t>
  </si>
  <si>
    <t>MSP-200-24</t>
  </si>
  <si>
    <t>MSP-200-48</t>
  </si>
  <si>
    <t>MSP-300-12</t>
  </si>
  <si>
    <t>MSP-300-24</t>
  </si>
  <si>
    <t>MSP-300-36</t>
  </si>
  <si>
    <t>MSP-450-24</t>
  </si>
  <si>
    <t>MSP-450-48</t>
  </si>
  <si>
    <t>MSP-600-36</t>
  </si>
  <si>
    <t>MSP-1000-48</t>
  </si>
  <si>
    <t>NDR 시리즈</t>
  </si>
  <si>
    <t>NDR-120-12</t>
  </si>
  <si>
    <t>NDR-120-24</t>
  </si>
  <si>
    <t>NDR-120-48</t>
  </si>
  <si>
    <t>NDR-240-24</t>
  </si>
  <si>
    <t>NDR-240-48</t>
  </si>
  <si>
    <t>NDR-480-24</t>
  </si>
  <si>
    <t>NDR-480-48</t>
  </si>
  <si>
    <t>NDR-75-12</t>
  </si>
  <si>
    <t>NDR-75-24</t>
  </si>
  <si>
    <t>NDR-75-48</t>
  </si>
  <si>
    <t>NLDD 시리즈</t>
  </si>
  <si>
    <t>NLDD-1400H</t>
  </si>
  <si>
    <t>NPB 시리즈</t>
  </si>
  <si>
    <t>NPB-240-24TB</t>
  </si>
  <si>
    <t>NPB-450-72</t>
  </si>
  <si>
    <t>NPB-1700-48</t>
  </si>
  <si>
    <t>NPP시리즈</t>
  </si>
  <si>
    <t>NPP-750-48</t>
  </si>
  <si>
    <t>NSP시리즈</t>
  </si>
  <si>
    <t>NSP-100-12</t>
  </si>
  <si>
    <t>NSP-100-24</t>
  </si>
  <si>
    <t>NSP-150-12</t>
  </si>
  <si>
    <t>NSP-150-24</t>
  </si>
  <si>
    <t>NSP-1600-12</t>
  </si>
  <si>
    <t>NSP-1600-24</t>
  </si>
  <si>
    <t>NSP-200-12</t>
  </si>
  <si>
    <t>NSP-200-24</t>
  </si>
  <si>
    <t>NPB-240-24-TB</t>
  </si>
  <si>
    <t>NSP-3200-24</t>
  </si>
  <si>
    <t>NSP-3200-48</t>
  </si>
  <si>
    <t>NSP-320-12</t>
  </si>
  <si>
    <t>NSP-320-24</t>
  </si>
  <si>
    <t>NSP-500-12</t>
  </si>
  <si>
    <t>NSP-500-24</t>
  </si>
  <si>
    <t>NSP-500-48</t>
  </si>
  <si>
    <t>NSP-75-5</t>
  </si>
  <si>
    <t>NSP-750-12</t>
  </si>
  <si>
    <t>NSP-750-24</t>
  </si>
  <si>
    <t>NSP-75-12</t>
  </si>
  <si>
    <t>NSP-75-24</t>
  </si>
  <si>
    <t>NTS 시리즈</t>
  </si>
  <si>
    <t>NTS-400P-224</t>
  </si>
  <si>
    <t>PD 시리즈</t>
  </si>
  <si>
    <t>PD-25A</t>
  </si>
  <si>
    <t>PD-2505</t>
  </si>
  <si>
    <t>PD-65A</t>
  </si>
  <si>
    <t>PSP 시리즈</t>
  </si>
  <si>
    <t>PSP-600-24</t>
  </si>
  <si>
    <t>PT 시리즈</t>
  </si>
  <si>
    <t>PT-45C</t>
  </si>
  <si>
    <t>RCP 시리즈</t>
  </si>
  <si>
    <t>RCP-2000-48</t>
  </si>
  <si>
    <t>RD 시리즈</t>
  </si>
  <si>
    <t>RD-125-1224</t>
  </si>
  <si>
    <t>RD-125-2448</t>
  </si>
  <si>
    <t>RD-35A</t>
  </si>
  <si>
    <t>RD-35B</t>
  </si>
  <si>
    <t>RD-50A</t>
  </si>
  <si>
    <t>RD-50B</t>
  </si>
  <si>
    <t>RD-65A</t>
  </si>
  <si>
    <t>RD-65B</t>
  </si>
  <si>
    <t>RD-85A</t>
  </si>
  <si>
    <t>RD-85B</t>
  </si>
  <si>
    <t>RD-125A</t>
  </si>
  <si>
    <t>RD-125B</t>
  </si>
  <si>
    <t>RID 시리즈</t>
  </si>
  <si>
    <t>RID-50B</t>
  </si>
  <si>
    <t>RID-125-2405</t>
  </si>
  <si>
    <t>RKP 시리즈</t>
  </si>
  <si>
    <t>RKP-1UT</t>
  </si>
  <si>
    <t>RPD 시리즈</t>
  </si>
  <si>
    <t>RPD-60A</t>
  </si>
  <si>
    <t>RPD-75A</t>
  </si>
  <si>
    <t>RPS 시리즈</t>
  </si>
  <si>
    <t>RPS-30-12</t>
  </si>
  <si>
    <t>RPS-45-5</t>
  </si>
  <si>
    <t>RPS-60-5</t>
  </si>
  <si>
    <t>RPS-60-12</t>
  </si>
  <si>
    <t>RPS-60-24</t>
  </si>
  <si>
    <t>RPS-65-5</t>
  </si>
  <si>
    <t>RPS-65-12</t>
  </si>
  <si>
    <t>RPS-65-24</t>
  </si>
  <si>
    <t>RPS-75-5</t>
  </si>
  <si>
    <t>RPS-75-12</t>
  </si>
  <si>
    <t>RPS-75-15</t>
  </si>
  <si>
    <t>RPS-75-24</t>
  </si>
  <si>
    <t>RPS-75-48</t>
  </si>
  <si>
    <t>RPS-120-12</t>
  </si>
  <si>
    <t>RPS-120-12-C</t>
  </si>
  <si>
    <t>RPS-120-15</t>
  </si>
  <si>
    <t>RPS-120-24</t>
  </si>
  <si>
    <t>RPS-120S-24</t>
  </si>
  <si>
    <t>RPS-160-12</t>
  </si>
  <si>
    <t>RPS-200-12</t>
  </si>
  <si>
    <t>RPS-200-24-C</t>
  </si>
  <si>
    <t>RPS-200-24</t>
  </si>
  <si>
    <t>RPS-200-27</t>
  </si>
  <si>
    <t>RPS-200-48</t>
  </si>
  <si>
    <t>RPS-300-12</t>
  </si>
  <si>
    <t>RPS-300-24</t>
  </si>
  <si>
    <t>RPS-300-24-C</t>
  </si>
  <si>
    <t>RPS-300-48</t>
  </si>
  <si>
    <t>RPS-400-12</t>
  </si>
  <si>
    <t>RPS-400-12-C</t>
  </si>
  <si>
    <t>RPS-400-15</t>
  </si>
  <si>
    <t>RPS-400-15-C</t>
  </si>
  <si>
    <t>RPS-400-4F</t>
  </si>
  <si>
    <t>RPS-400-24-TF</t>
  </si>
  <si>
    <t>RPS-500-48</t>
  </si>
  <si>
    <t>RPT 시리즈</t>
  </si>
  <si>
    <t>RPT-60B</t>
  </si>
  <si>
    <t>RPT-16D</t>
  </si>
  <si>
    <t>RQ 시리즈</t>
  </si>
  <si>
    <t>RQ-50C</t>
  </si>
  <si>
    <t>RQ-125B</t>
  </si>
  <si>
    <t>RS 시리즈</t>
  </si>
  <si>
    <t>RS-15-3.3</t>
  </si>
  <si>
    <t>RS-15-5</t>
  </si>
  <si>
    <t>RS-15-12</t>
  </si>
  <si>
    <t>RS-15-15</t>
  </si>
  <si>
    <t>RS-15-24</t>
  </si>
  <si>
    <t>RS-25-5</t>
  </si>
  <si>
    <t>RS-25-12</t>
  </si>
  <si>
    <t>RS-25-15</t>
  </si>
  <si>
    <t>RS-25-24</t>
  </si>
  <si>
    <t>RS-25-48</t>
  </si>
  <si>
    <t>RS-35-12</t>
  </si>
  <si>
    <t>RS-35-24</t>
  </si>
  <si>
    <t>RS-50-5</t>
  </si>
  <si>
    <t>RS-50-3.3</t>
  </si>
  <si>
    <t>RS-50-12</t>
  </si>
  <si>
    <t>RS-50-15</t>
  </si>
  <si>
    <t>RS-50-24</t>
  </si>
  <si>
    <t>RS-75-5</t>
  </si>
  <si>
    <t>RS-75-12</t>
  </si>
  <si>
    <t>RS-75-24</t>
  </si>
  <si>
    <t>RS-100-12</t>
  </si>
  <si>
    <t>RS-100-24</t>
  </si>
  <si>
    <t>RS-100-48</t>
  </si>
  <si>
    <t>RS-100-15</t>
  </si>
  <si>
    <t>RS-150-5</t>
  </si>
  <si>
    <t>RS-150-12</t>
  </si>
  <si>
    <t>RS-150-24</t>
  </si>
  <si>
    <t>RS-150-48</t>
  </si>
  <si>
    <t>RSD 시리즈</t>
  </si>
  <si>
    <t>RSD-100D-24</t>
  </si>
  <si>
    <t>RSD-150B-5</t>
  </si>
  <si>
    <t>RSD-150B-24</t>
  </si>
  <si>
    <t>RSD-150C-24</t>
  </si>
  <si>
    <t>RSD-200B-12</t>
  </si>
  <si>
    <t>RSD-200B-24</t>
  </si>
  <si>
    <t>RSD-200C-12</t>
  </si>
  <si>
    <t>RSD-200C-24</t>
  </si>
  <si>
    <t>RSD-30G-12</t>
  </si>
  <si>
    <t>RSD-60G-12</t>
  </si>
  <si>
    <t>RSD-60H-12</t>
  </si>
  <si>
    <t>RSDW20H-05</t>
  </si>
  <si>
    <t>RSDW40H-12</t>
  </si>
  <si>
    <t>RSP 시리즈</t>
  </si>
  <si>
    <t>RSP-75-5</t>
  </si>
  <si>
    <t>RSP-75-12</t>
  </si>
  <si>
    <t>RSP-75-24</t>
  </si>
  <si>
    <t>RSP-100-5</t>
  </si>
  <si>
    <t>RSP-100-12</t>
  </si>
  <si>
    <t>RSP-100-15</t>
  </si>
  <si>
    <t>RSP-100-24</t>
  </si>
  <si>
    <t>RSP-150-12</t>
  </si>
  <si>
    <t>RSP-150-15</t>
  </si>
  <si>
    <t>RSP-150-24</t>
  </si>
  <si>
    <t>RSP-200-12</t>
  </si>
  <si>
    <t>RSP-200-13.5</t>
  </si>
  <si>
    <t>RSP-200-24</t>
  </si>
  <si>
    <t>RSP-200-48</t>
  </si>
  <si>
    <t>RSP-320-5</t>
  </si>
  <si>
    <t>RSP-320-7.5</t>
  </si>
  <si>
    <t>RSP-320-12</t>
  </si>
  <si>
    <t>RSP-320-13.5</t>
  </si>
  <si>
    <t>RSP-320-15</t>
  </si>
  <si>
    <t>RSP-320-24</t>
  </si>
  <si>
    <t>RSP-320-27</t>
  </si>
  <si>
    <t>RSP-320-48</t>
  </si>
  <si>
    <t>RSP-500-12</t>
  </si>
  <si>
    <t>RSP-500-15</t>
  </si>
  <si>
    <t>RSP-500-24</t>
  </si>
  <si>
    <t>RSP-500-27</t>
  </si>
  <si>
    <t>RSP-500-48</t>
  </si>
  <si>
    <t>RSP-750-12</t>
  </si>
  <si>
    <t>RSP-750-15</t>
  </si>
  <si>
    <t>RSP-750-24</t>
  </si>
  <si>
    <t>RSP-750-27</t>
  </si>
  <si>
    <t>RSP-750-48</t>
  </si>
  <si>
    <t>RSP-1000-12</t>
  </si>
  <si>
    <t>RSP-1000-15</t>
  </si>
  <si>
    <t>RSP-1000-24</t>
  </si>
  <si>
    <t>RSP-1000-27</t>
  </si>
  <si>
    <t>RSP-1000-48</t>
  </si>
  <si>
    <t>RSP-1600-24</t>
  </si>
  <si>
    <t>RSP-1600-36</t>
  </si>
  <si>
    <t>RSP-1600-48</t>
  </si>
  <si>
    <t>RSP-1500-12</t>
  </si>
  <si>
    <t>RSP-1500-24</t>
  </si>
  <si>
    <t>RSP-1500-27</t>
  </si>
  <si>
    <t>RSP-1500-48</t>
  </si>
  <si>
    <t>RSP-2000-12</t>
  </si>
  <si>
    <t>RSP-2000-24</t>
  </si>
  <si>
    <t>RSP-2000-48</t>
  </si>
  <si>
    <t>RSP-2400-12</t>
  </si>
  <si>
    <t>RSP-2400-24</t>
  </si>
  <si>
    <t>RSP-2400-48</t>
  </si>
  <si>
    <t>RSP-3000-12</t>
  </si>
  <si>
    <t>RSP-3000-24</t>
  </si>
  <si>
    <t>RSP-3000-48</t>
  </si>
  <si>
    <t>RST 시리즈</t>
  </si>
  <si>
    <t>RST-5000-24</t>
  </si>
  <si>
    <t>RT 시리즈</t>
  </si>
  <si>
    <t>RT-50A</t>
  </si>
  <si>
    <t>RT-50B</t>
  </si>
  <si>
    <t>RT-50C</t>
  </si>
  <si>
    <t>RT-65B</t>
  </si>
  <si>
    <t>RT-65C</t>
  </si>
  <si>
    <t>RT-65D</t>
  </si>
  <si>
    <t>RT-85B</t>
  </si>
  <si>
    <t>RT-85C</t>
  </si>
  <si>
    <t>RT-125A</t>
  </si>
  <si>
    <t>RT-125B</t>
  </si>
  <si>
    <t>RT-125C</t>
  </si>
  <si>
    <t>SBTN 시리즈</t>
  </si>
  <si>
    <t>SBTN01L-05N</t>
  </si>
  <si>
    <t>SBTN01M-12N</t>
  </si>
  <si>
    <t>SCWN 시리즈</t>
  </si>
  <si>
    <t>SCWN03B-05</t>
  </si>
  <si>
    <t>SKM 시리즈</t>
  </si>
  <si>
    <t>SKM10B-05</t>
  </si>
  <si>
    <t>SKMW40F-12</t>
  </si>
  <si>
    <t>SD 시리즈</t>
  </si>
  <si>
    <t>SD-15A-05</t>
  </si>
  <si>
    <t>SD-150B-12</t>
  </si>
  <si>
    <t>SD-25B-12</t>
  </si>
  <si>
    <t>SD-25B-24</t>
  </si>
  <si>
    <t>SD-50B-12</t>
  </si>
  <si>
    <t>SD-50B-24</t>
  </si>
  <si>
    <t>SD-50C-5</t>
  </si>
  <si>
    <t>SD-100C-24</t>
  </si>
  <si>
    <t>SD-150C-24</t>
  </si>
  <si>
    <t>SD-150B-24</t>
  </si>
  <si>
    <t>SD-150C-12</t>
  </si>
  <si>
    <t>SD-150D-24</t>
  </si>
  <si>
    <t>SD-200C-12</t>
  </si>
  <si>
    <t>SD-200C-24</t>
  </si>
  <si>
    <t>SD-350B-24</t>
  </si>
  <si>
    <t>SD-350B-48</t>
  </si>
  <si>
    <t>SD-350C-24</t>
  </si>
  <si>
    <t>SD-350C-48</t>
  </si>
  <si>
    <t>SD-500L-24</t>
  </si>
  <si>
    <t>SD-500L-48</t>
  </si>
  <si>
    <t>SD-1000L-24</t>
  </si>
  <si>
    <t>SD-1000L-48</t>
  </si>
  <si>
    <t>SDR 시리즈</t>
  </si>
  <si>
    <t>SDR-75-12</t>
  </si>
  <si>
    <t>SDR-75-24</t>
  </si>
  <si>
    <t>SDR-120-12</t>
  </si>
  <si>
    <t>SDR-120-24</t>
  </si>
  <si>
    <t>SDR-120-48</t>
  </si>
  <si>
    <t>SDR-240-24</t>
  </si>
  <si>
    <t>SDR-240-48</t>
  </si>
  <si>
    <t>SDR-480-24</t>
  </si>
  <si>
    <t>SDR-480-48</t>
  </si>
  <si>
    <t>SDR-960-24</t>
  </si>
  <si>
    <t>SDR-960-48</t>
  </si>
  <si>
    <t>SE 시리즈</t>
  </si>
  <si>
    <t>SE-1000-12</t>
  </si>
  <si>
    <t>SE-1000-24</t>
  </si>
  <si>
    <t>SE-1000-48</t>
  </si>
  <si>
    <t>SE-1500-5</t>
  </si>
  <si>
    <t>SE-1500-12</t>
  </si>
  <si>
    <t>SE-1500-24</t>
  </si>
  <si>
    <t>SE-1500-48</t>
  </si>
  <si>
    <t>SLD 시리즈</t>
  </si>
  <si>
    <t>SHP-10K-320</t>
  </si>
  <si>
    <t>SHP-10K-380</t>
  </si>
  <si>
    <t>SLD-150-24</t>
  </si>
  <si>
    <t>SMUN 시리즈</t>
  </si>
  <si>
    <t>SMU02N-05N</t>
  </si>
  <si>
    <t>SPAN 시리즈</t>
  </si>
  <si>
    <t>SPAN02A-15</t>
  </si>
  <si>
    <t>SPBW 시리즈</t>
  </si>
  <si>
    <t>SPBW06F-03</t>
  </si>
  <si>
    <t>SPBW06F-05</t>
  </si>
  <si>
    <t>SPRN 시리즈</t>
  </si>
  <si>
    <t>SPRN01N-05</t>
  </si>
  <si>
    <t>SPUN 시리즈</t>
  </si>
  <si>
    <t>SPU01L-05</t>
  </si>
  <si>
    <t>SPUN02L-05</t>
  </si>
  <si>
    <t>SPUN02L-15</t>
  </si>
  <si>
    <t>SPUN02N-05</t>
  </si>
  <si>
    <t>SPV 시리즈</t>
  </si>
  <si>
    <t>SPV-300-12</t>
  </si>
  <si>
    <t>SPWM 시리즈</t>
  </si>
  <si>
    <t>SPWM-240-24</t>
  </si>
  <si>
    <t>TDR 시리즈</t>
  </si>
  <si>
    <t>TDR-240-24</t>
  </si>
  <si>
    <t>TDR-240-48</t>
  </si>
  <si>
    <t>TDR-480-24</t>
  </si>
  <si>
    <t>TDR-480-48</t>
  </si>
  <si>
    <t>TDR-960-24</t>
  </si>
  <si>
    <t>TDR-960-48</t>
  </si>
  <si>
    <t>UHP 시리즈</t>
  </si>
  <si>
    <t>UHP-200-12</t>
  </si>
  <si>
    <t>UHP-200-24</t>
  </si>
  <si>
    <t>UHP-350-36</t>
  </si>
  <si>
    <t>UHP-1500-48</t>
  </si>
  <si>
    <t>UHP-350-24</t>
  </si>
  <si>
    <t>UHP-500-48</t>
  </si>
  <si>
    <t>UHP-600-12</t>
  </si>
  <si>
    <t>WDR 시리즈</t>
  </si>
  <si>
    <t>WDR-60-5</t>
  </si>
  <si>
    <t>WDR-60-12</t>
  </si>
  <si>
    <t>WDR-60-24</t>
  </si>
  <si>
    <t>WDR-60-48</t>
  </si>
  <si>
    <t>WDR-120-12</t>
  </si>
  <si>
    <t>WDR-120-24</t>
  </si>
  <si>
    <t>WDR-120-48</t>
  </si>
  <si>
    <t>WDR-240-24</t>
  </si>
  <si>
    <t>WDR-240-48</t>
  </si>
  <si>
    <t>WDR-480-24</t>
  </si>
  <si>
    <t>WDR-480-48</t>
  </si>
  <si>
    <t>XDR 시리즈</t>
  </si>
  <si>
    <t>XDR-75-12</t>
  </si>
  <si>
    <t>XDR-75-24</t>
  </si>
  <si>
    <t>XDR-75-36</t>
  </si>
  <si>
    <t>XDR-75-48</t>
  </si>
  <si>
    <t>XDR-75E-12</t>
  </si>
  <si>
    <t>XDR-75E-24</t>
  </si>
  <si>
    <t>XDR-75E-36</t>
  </si>
  <si>
    <t>XDR-75E-48</t>
  </si>
  <si>
    <t>XDR-120-12</t>
  </si>
  <si>
    <t>XDR-120-24</t>
  </si>
  <si>
    <t>XDR-120-36</t>
  </si>
  <si>
    <t>XDR-120-48</t>
  </si>
  <si>
    <t>XDR-120E-12</t>
  </si>
  <si>
    <t>XDR-120E-24</t>
  </si>
  <si>
    <t>XDR-120E-36</t>
  </si>
  <si>
    <t>XDR-120E-48</t>
  </si>
  <si>
    <t>XDR-150E-12</t>
  </si>
  <si>
    <t>XDR-150E-24</t>
  </si>
  <si>
    <t>XDR-150E-36</t>
  </si>
  <si>
    <t>XDR-150E-48</t>
  </si>
  <si>
    <t>XDR-240-12</t>
  </si>
  <si>
    <t>XDR-240-24</t>
  </si>
  <si>
    <t>XDR-240-36</t>
  </si>
  <si>
    <t>XDR-240-48</t>
  </si>
  <si>
    <t>XDR-240E-12</t>
  </si>
  <si>
    <t>XDR-240E-24</t>
  </si>
  <si>
    <t>XDR-240E-36</t>
  </si>
  <si>
    <t>XDR-240E-48</t>
  </si>
  <si>
    <t>XDR-480-12</t>
  </si>
  <si>
    <t>XDR-480-24</t>
  </si>
  <si>
    <t>XDR-480-36</t>
  </si>
  <si>
    <t>XDR-480-48</t>
  </si>
  <si>
    <t>XDR-480E-12</t>
  </si>
  <si>
    <t>XDR-480E-24</t>
  </si>
  <si>
    <t>XDR-480E-36</t>
  </si>
  <si>
    <t>XDR-480E-48</t>
  </si>
  <si>
    <t>XDR-960-12</t>
  </si>
  <si>
    <t>XDR-960-24</t>
  </si>
  <si>
    <t>XDR-960-36</t>
  </si>
  <si>
    <t>XDR-960-48</t>
  </si>
  <si>
    <t>XDR-960E-24</t>
  </si>
  <si>
    <t>XDR-960E-36</t>
  </si>
  <si>
    <t>XDR-960E-48</t>
  </si>
  <si>
    <t>XLG 시리즈</t>
  </si>
  <si>
    <t>XLG-25-A</t>
  </si>
  <si>
    <t>XLG-25-AB</t>
  </si>
  <si>
    <t>XLG-50-A</t>
  </si>
  <si>
    <t>XLG-50-AB</t>
  </si>
  <si>
    <t>XLG-75-24-A</t>
  </si>
  <si>
    <t>XLG-75-H-A</t>
  </si>
  <si>
    <t>XLG-75-L-A</t>
  </si>
  <si>
    <t>XLG-100-H-A</t>
  </si>
  <si>
    <t>XLG-150-H-A</t>
  </si>
  <si>
    <t>XLG-100-L-AB</t>
  </si>
  <si>
    <t>XLG-100-12-A</t>
  </si>
  <si>
    <t>XLG-100-24-A</t>
  </si>
  <si>
    <t>XLG-150-24-A</t>
  </si>
  <si>
    <t>XLG-150-H-AB</t>
  </si>
  <si>
    <t>XLG-150-L-AB</t>
  </si>
  <si>
    <t>XLG-200-H-AB</t>
  </si>
  <si>
    <t>XLG-200-12-A</t>
  </si>
  <si>
    <t>XLG-200-24-A</t>
  </si>
  <si>
    <t>XLG-240-H-AB</t>
  </si>
  <si>
    <t>XLG-240-M-AB</t>
  </si>
  <si>
    <t>XLG-320-M-AB</t>
  </si>
  <si>
    <t>XLG-320-V-A</t>
  </si>
  <si>
    <t>XTR 시리즈</t>
  </si>
  <si>
    <t>XTR-240-12</t>
  </si>
  <si>
    <t>XTR-240-24</t>
  </si>
  <si>
    <t>XTR-240-36</t>
  </si>
  <si>
    <t>XTR-240-48</t>
  </si>
  <si>
    <t>XTR-480-12</t>
  </si>
  <si>
    <t>XTR-480-24</t>
  </si>
  <si>
    <t>XTR-480-36</t>
  </si>
  <si>
    <t>XTR-480-48</t>
  </si>
  <si>
    <t>XTR-960-24</t>
  </si>
  <si>
    <t>XTR-960-36</t>
  </si>
  <si>
    <t>XTR-960-48</t>
  </si>
  <si>
    <t>기타 자재</t>
  </si>
  <si>
    <t>일자형 브라켓</t>
  </si>
  <si>
    <t>기역자형 브라켓</t>
  </si>
  <si>
    <t>TBC-05 (단자커버)</t>
  </si>
  <si>
    <t>TBC-07 (단자커버)</t>
  </si>
  <si>
    <t>TBC-09 (단자커버)</t>
  </si>
  <si>
    <t>일별 재고 파일</t>
  </si>
  <si>
    <t>재고현황</t>
  </si>
  <si>
    <t>-</t>
  </si>
  <si>
    <t>RST-7K5-230</t>
  </si>
  <si>
    <t>ELG-200-24A-3Y</t>
  </si>
  <si>
    <t>XLG-200-H-A</t>
  </si>
  <si>
    <t>RPT-160D</t>
  </si>
  <si>
    <t>SHP-10K-230</t>
  </si>
  <si>
    <t>RPS-400-24</t>
  </si>
  <si>
    <t>GST360A24-C6P</t>
  </si>
  <si>
    <t>26.01.01</t>
  </si>
  <si>
    <t>매일</t>
  </si>
  <si>
    <t>모델 선택</t>
  </si>
  <si>
    <t>DRA</t>
  </si>
  <si>
    <t>모델</t>
  </si>
  <si>
    <t>상태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</si>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</sst>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;(#,##0)"/>
  </numFmts>
  <fonts count="38">
    <font>
      <sz val="12.0"/>
      <color rgb="FF000000"/>
      <name val="Calibri"/>
    </font>
    <font>
      <sz val="11.0"/>
      <name val="Poppins"/>
    </font>
    <font>
      <b/>
      <sz val="30.0"/>
      <color rgb="FF0B5394"/>
      <name val="Poppins"/>
    </font>
    <font>
      <b/>
      <sz val="11.0"/>
      <color rgb="FF000000"/>
      <name val="Poppins"/>
    </font>
    <font>
      <b/>
      <sz val="11.0"/>
      <color rgb="FF0B5394"/>
      <name val="Poppins"/>
    </font>
    <font>
      <b/>
      <sz val="21.0"/>
      <color rgb="FF0B5394"/>
      <name val="Roboto"/>
    </font>
    <font>
      <b/>
      <sz val="22.0"/>
      <color rgb="FF0B5394"/>
      <name val="Roboto"/>
    </font>
    <font>
      <b/>
      <sz val="30.0"/>
      <color rgb="FF0B5394"/>
      <name val="Roboto"/>
    </font>
    <font>
      <b/>
      <sz val="11.0"/>
      <color rgb="FF434343"/>
      <name val="Poppins"/>
    </font>
    <font>
      <sz val="11.0"/>
      <color rgb="FF434343"/>
      <name val="Poppins"/>
    </font>
    <font>
      <sz val="11.0"/>
      <name val="Roboto"/>
    </font>
    <font>
      <sz val="11.0"/>
      <color rgb="FF000000"/>
      <name val="Roboto"/>
    </font>
    <font>
      <b/>
      <sz val="10.0"/>
      <color rgb="FF000000"/>
      <name val="Malgun Gothic"/>
    </font>
    <font>
      <b/>
      <sz val="8.0"/>
      <color rgb="FF000000"/>
      <name val="Roboto"/>
    </font>
    <font>
      <sz val="10.0"/>
      <color rgb="FF000000"/>
      <name val="Malgun Gothic"/>
    </font>
    <font>
      <sz val="9.0"/>
      <name val="Roboto"/>
    </font>
    <font>
      <sz val="10.0"/>
      <color rgb="FFFFFFFF"/>
      <name val="Roboto"/>
    </font>
    <font>
      <b/>
      <sz val="14.0"/>
      <color rgb="FF222222"/>
      <name val="-apple-system"/>
    </font>
    <font>
      <sz val="10.0"/>
      <color rgb="FF000000"/>
      <name val="&quot;맑은 고딕&quot;"/>
    </font>
    <font>
      <sz val="10.0"/>
    </font>
    <font>
      <sz val="10.0"/>
      <color rgb="FF434343"/>
      <name val="Roboto"/>
    </font>
    <font>
      <sz val="10.0"/>
      <name val="Malgun Gothic"/>
    </font>
    <font>
      <sz val="10.0"/>
      <color rgb="FF666666"/>
      <name val="Roboto"/>
    </font>
    <font>
      <sz val="10.0"/>
      <color rgb="FF000000"/>
      <name val="Arial"/>
    </font>
    <font>
      <sz val="10.0"/>
      <color rgb="FFFFFFFF"/>
      <name val="Malgun Gothic"/>
    </font>
    <font/>
    <font>
      <color rgb="FF000000"/>
    </font>
    <font>
      <color rgb="FF000000"/>
      <name val="Arial"/>
    </font>
    <font>
      <sz val="11.0"/>
      <color rgb="FF434343"/>
      <name val="Roboto"/>
    </font>
    <font>
      <sz val="16.0"/>
      <name val="Arial"/>
    </font>
    <font>
      <sz val="12.0"/>
      <color rgb="FF000000"/>
      <name val="Malgun Gothic"/>
    </font>
    <font>
      <b/>
      <sz val="12.0"/>
      <color rgb="FF000000"/>
      <name val="Malgun Gothic"/>
    </font>
    <font>
      <name val="&quot;맑은 고딕&quot;"/>
    </font>
    <font>
      <color rgb="FF000000"/>
      <name val="&quot;맑은 고딕&quot;"/>
    </font>
    <font>
      <b/>
      <color rgb="FF000000"/>
      <name val="&quot;맑은 고딕&quot;"/>
    </font>
    <font>
      <color rgb="FF111111"/>
      <name val="&quot;맑은 고딕&quot;"/>
    </font>
    <font>
      <b/>
      <sz val="30.0"/>
      <color rgb="FF000000"/>
      <name val="Roboto"/>
    </font>
    <font>
      <sz val="11.0"/>
      <color rgb="FF000000"/>
      <name val="Poppins"/>
    </font>
  </fonts>
  <fills count="2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8E7CC3"/>
        <bgColor rgb="FF8E7CC3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A2C4C9"/>
        <bgColor rgb="FFA2C4C9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FFFF00"/>
        <bgColor rgb="FFFFFF00"/>
      </patternFill>
    </fill>
  </fills>
  <borders count="13">
    <border/>
    <border>
      <bottom style="thick">
        <color rgb="FF0B5394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bottom style="thin">
        <color rgb="FF999999"/>
      </bottom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4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2" fontId="5" numFmtId="0" xfId="0" applyAlignment="1" applyFont="1">
      <alignment horizontal="center" readingOrder="0" shrinkToFit="0" vertical="center" wrapText="0"/>
    </xf>
    <xf borderId="1" fillId="2" fontId="6" numFmtId="14" xfId="0" applyAlignment="1" applyBorder="1" applyFont="1" applyNumberFormat="1">
      <alignment horizontal="center" readingOrder="0" shrinkToFit="0" vertical="center" wrapText="0"/>
    </xf>
    <xf borderId="0" fillId="2" fontId="7" numFmtId="0" xfId="0" applyAlignment="1" applyFon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2" fontId="9" numFmtId="0" xfId="0" applyAlignment="1" applyFont="1">
      <alignment horizontal="center"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10" numFmtId="0" xfId="0" applyAlignment="1" applyFont="1">
      <alignment vertical="center"/>
    </xf>
    <xf borderId="0" fillId="2" fontId="11" numFmtId="0" xfId="0" applyAlignment="1" applyFon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2" fillId="3" fontId="12" numFmtId="0" xfId="0" applyAlignment="1" applyBorder="1" applyFill="1" applyFont="1">
      <alignment horizontal="center" readingOrder="0" shrinkToFit="0" vertical="center" wrapText="1"/>
    </xf>
    <xf borderId="2" fillId="4" fontId="12" numFmtId="0" xfId="0" applyAlignment="1" applyBorder="1" applyFill="1" applyFont="1">
      <alignment horizontal="center" readingOrder="0" shrinkToFit="0" vertical="center" wrapText="1"/>
    </xf>
    <xf borderId="0" fillId="2" fontId="13" numFmtId="0" xfId="0" applyAlignment="1" applyFont="1">
      <alignment horizontal="left" readingOrder="0" shrinkToFit="0" vertical="center" wrapText="1"/>
    </xf>
    <xf borderId="3" fillId="5" fontId="12" numFmtId="0" xfId="0" applyAlignment="1" applyBorder="1" applyFill="1" applyFont="1">
      <alignment horizontal="center" readingOrder="0" shrinkToFit="0" vertical="center" wrapText="0"/>
    </xf>
    <xf borderId="0" fillId="2" fontId="11" numFmtId="0" xfId="0" applyAlignment="1" applyFont="1">
      <alignment shrinkToFit="0" vertical="center" wrapText="0"/>
    </xf>
    <xf borderId="3" fillId="2" fontId="12" numFmtId="0" xfId="0" applyAlignment="1" applyBorder="1" applyFont="1">
      <alignment horizontal="center" readingOrder="0" shrinkToFit="0" vertical="center" wrapText="1"/>
    </xf>
    <xf borderId="3" fillId="2" fontId="14" numFmtId="0" xfId="0" applyAlignment="1" applyBorder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4" fillId="5" fontId="12" numFmtId="0" xfId="0" applyAlignment="1" applyBorder="1" applyFont="1">
      <alignment horizontal="center" readingOrder="0" shrinkToFit="0" vertical="center" wrapText="0"/>
    </xf>
    <xf borderId="0" fillId="2" fontId="16" numFmtId="0" xfId="0" applyAlignment="1" applyFont="1">
      <alignment horizontal="center" readingOrder="0" shrinkToFit="0" vertical="center" wrapText="0"/>
    </xf>
    <xf borderId="3" fillId="2" fontId="14" numFmtId="164" xfId="0" applyAlignment="1" applyBorder="1" applyFont="1" applyNumberForma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0"/>
    </xf>
    <xf borderId="0" fillId="2" fontId="15" numFmtId="0" xfId="0" applyAlignment="1" applyFont="1">
      <alignment vertical="center"/>
    </xf>
    <xf borderId="3" fillId="6" fontId="12" numFmtId="0" xfId="0" applyAlignment="1" applyBorder="1" applyFill="1" applyFont="1">
      <alignment horizontal="center" readingOrder="0" shrinkToFit="0" vertical="center" wrapText="0"/>
    </xf>
    <xf borderId="3" fillId="0" fontId="14" numFmtId="0" xfId="0" applyAlignment="1" applyBorder="1" applyFont="1">
      <alignment horizontal="center" readingOrder="0" vertical="center"/>
    </xf>
    <xf borderId="0" fillId="2" fontId="17" numFmtId="0" xfId="0" applyAlignment="1" applyFont="1">
      <alignment readingOrder="0"/>
    </xf>
    <xf borderId="3" fillId="7" fontId="12" numFmtId="0" xfId="0" applyAlignment="1" applyBorder="1" applyFill="1" applyFont="1">
      <alignment horizontal="center" readingOrder="0" shrinkToFit="0" vertical="center" wrapText="0"/>
    </xf>
    <xf borderId="0" fillId="2" fontId="14" numFmtId="0" xfId="0" applyAlignment="1" applyFont="1">
      <alignment horizontal="center" readingOrder="0" shrinkToFit="0" vertical="center" wrapText="0"/>
    </xf>
    <xf borderId="0" fillId="2" fontId="14" numFmtId="0" xfId="0" applyAlignment="1" applyFont="1">
      <alignment horizontal="center" readingOrder="0" shrinkToFit="0" vertical="center" wrapText="1"/>
    </xf>
    <xf borderId="3" fillId="8" fontId="12" numFmtId="0" xfId="0" applyAlignment="1" applyBorder="1" applyFill="1" applyFont="1">
      <alignment horizontal="center" readingOrder="0" shrinkToFit="0" vertical="center" wrapText="0"/>
    </xf>
    <xf borderId="3" fillId="2" fontId="14" numFmtId="0" xfId="0" applyAlignment="1" applyBorder="1" applyFont="1">
      <alignment horizontal="center" readingOrder="0" shrinkToFit="0" vertical="center" wrapText="0"/>
    </xf>
    <xf borderId="3" fillId="9" fontId="12" numFmtId="0" xfId="0" applyAlignment="1" applyBorder="1" applyFill="1" applyFont="1">
      <alignment horizontal="center" readingOrder="0" shrinkToFit="0" vertical="center" wrapText="0"/>
    </xf>
    <xf borderId="3" fillId="10" fontId="12" numFmtId="0" xfId="0" applyAlignment="1" applyBorder="1" applyFill="1" applyFont="1">
      <alignment horizontal="center" readingOrder="0" shrinkToFit="0" vertical="center" wrapText="0"/>
    </xf>
    <xf borderId="3" fillId="8" fontId="12" numFmtId="0" xfId="0" applyAlignment="1" applyBorder="1" applyFont="1">
      <alignment horizontal="left" readingOrder="0" shrinkToFit="0" vertical="center" wrapText="0"/>
    </xf>
    <xf borderId="3" fillId="0" fontId="18" numFmtId="0" xfId="0" applyAlignment="1" applyBorder="1" applyFont="1">
      <alignment horizontal="center" readingOrder="0" shrinkToFit="0" vertical="center" wrapText="0"/>
    </xf>
    <xf borderId="3" fillId="0" fontId="19" numFmtId="0" xfId="0" applyAlignment="1" applyBorder="1" applyFont="1">
      <alignment horizontal="center" readingOrder="0" vertical="center"/>
    </xf>
    <xf borderId="3" fillId="11" fontId="12" numFmtId="0" xfId="0" applyAlignment="1" applyBorder="1" applyFill="1" applyFont="1">
      <alignment horizontal="center" readingOrder="0" shrinkToFit="0" vertical="center" wrapText="0"/>
    </xf>
    <xf borderId="0" fillId="2" fontId="10" numFmtId="0" xfId="0" applyAlignment="1" applyFont="1">
      <alignment vertical="center"/>
    </xf>
    <xf borderId="0" fillId="2" fontId="20" numFmtId="0" xfId="0" applyAlignment="1" applyFont="1">
      <alignment horizontal="left" readingOrder="0" shrinkToFit="0" vertical="center" wrapText="1"/>
    </xf>
    <xf borderId="5" fillId="8" fontId="12" numFmtId="0" xfId="0" applyAlignment="1" applyBorder="1" applyFont="1">
      <alignment horizontal="center" readingOrder="0" shrinkToFit="0" vertical="center" wrapText="0"/>
    </xf>
    <xf borderId="3" fillId="12" fontId="12" numFmtId="0" xfId="0" applyAlignment="1" applyBorder="1" applyFill="1" applyFont="1">
      <alignment horizontal="center" readingOrder="0" shrinkToFit="0" vertical="center" wrapText="0"/>
    </xf>
    <xf borderId="0" fillId="2" fontId="20" numFmtId="0" xfId="0" applyAlignment="1" applyFont="1">
      <alignment readingOrder="0" shrinkToFit="0" vertical="center" wrapText="1"/>
    </xf>
    <xf borderId="3" fillId="13" fontId="12" numFmtId="0" xfId="0" applyAlignment="1" applyBorder="1" applyFill="1" applyFont="1">
      <alignment horizontal="center" readingOrder="0" shrinkToFit="0" vertical="center" wrapText="0"/>
    </xf>
    <xf borderId="3" fillId="14" fontId="12" numFmtId="0" xfId="0" applyAlignment="1" applyBorder="1" applyFill="1" applyFont="1">
      <alignment horizontal="center" readingOrder="0" shrinkToFit="0" vertical="center" wrapText="0"/>
    </xf>
    <xf borderId="0" fillId="0" fontId="21" numFmtId="0" xfId="0" applyAlignment="1" applyFont="1">
      <alignment horizontal="center" vertical="center"/>
    </xf>
    <xf borderId="0" fillId="2" fontId="22" numFmtId="0" xfId="0" applyAlignment="1" applyFont="1">
      <alignment readingOrder="0" shrinkToFit="0" vertical="center" wrapText="1"/>
    </xf>
    <xf borderId="3" fillId="0" fontId="14" numFmtId="0" xfId="0" applyAlignment="1" applyBorder="1" applyFont="1">
      <alignment horizontal="center" readingOrder="0" shrinkToFit="0" vertical="center" wrapText="0"/>
    </xf>
    <xf borderId="3" fillId="15" fontId="12" numFmtId="0" xfId="0" applyAlignment="1" applyBorder="1" applyFill="1" applyFont="1">
      <alignment horizontal="center" readingOrder="0" shrinkToFit="0" vertical="center" wrapText="0"/>
    </xf>
    <xf borderId="3" fillId="0" fontId="21" numFmtId="0" xfId="0" applyAlignment="1" applyBorder="1" applyFont="1">
      <alignment horizontal="center" readingOrder="0" vertical="center"/>
    </xf>
    <xf borderId="3" fillId="16" fontId="12" numFmtId="0" xfId="0" applyAlignment="1" applyBorder="1" applyFill="1" applyFont="1">
      <alignment horizontal="center" readingOrder="0" shrinkToFit="0" vertical="center" wrapText="0"/>
    </xf>
    <xf borderId="3" fillId="16" fontId="21" numFmtId="0" xfId="0" applyAlignment="1" applyBorder="1" applyFont="1">
      <alignment horizontal="center" vertical="center"/>
    </xf>
    <xf borderId="3" fillId="8" fontId="21" numFmtId="0" xfId="0" applyAlignment="1" applyBorder="1" applyFont="1">
      <alignment horizontal="center" vertical="center"/>
    </xf>
    <xf borderId="3" fillId="17" fontId="12" numFmtId="0" xfId="0" applyAlignment="1" applyBorder="1" applyFill="1" applyFont="1">
      <alignment horizontal="center" readingOrder="0" shrinkToFit="0" vertical="center" wrapText="0"/>
    </xf>
    <xf borderId="3" fillId="17" fontId="21" numFmtId="0" xfId="0" applyAlignment="1" applyBorder="1" applyFont="1">
      <alignment horizontal="center" vertical="center"/>
    </xf>
    <xf borderId="3" fillId="18" fontId="12" numFmtId="0" xfId="0" applyAlignment="1" applyBorder="1" applyFill="1" applyFont="1">
      <alignment horizontal="center" readingOrder="0" shrinkToFit="0" vertical="center" wrapText="0"/>
    </xf>
    <xf borderId="3" fillId="18" fontId="21" numFmtId="0" xfId="0" applyAlignment="1" applyBorder="1" applyFont="1">
      <alignment horizontal="center" vertical="center"/>
    </xf>
    <xf borderId="3" fillId="11" fontId="21" numFmtId="0" xfId="0" applyAlignment="1" applyBorder="1" applyFont="1">
      <alignment horizontal="center" vertical="center"/>
    </xf>
    <xf borderId="3" fillId="13" fontId="21" numFmtId="0" xfId="0" applyAlignment="1" applyBorder="1" applyFont="1">
      <alignment horizontal="center" vertical="center"/>
    </xf>
    <xf borderId="3" fillId="19" fontId="12" numFmtId="0" xfId="0" applyAlignment="1" applyBorder="1" applyFill="1" applyFont="1">
      <alignment horizontal="center" readingOrder="0" shrinkToFit="0" vertical="center" wrapText="0"/>
    </xf>
    <xf borderId="6" fillId="2" fontId="14" numFmtId="0" xfId="0" applyAlignment="1" applyBorder="1" applyFont="1">
      <alignment horizontal="center" readingOrder="0" shrinkToFit="0" vertical="center" wrapText="0"/>
    </xf>
    <xf borderId="3" fillId="0" fontId="23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center" readingOrder="0" vertical="center"/>
    </xf>
    <xf borderId="0" fillId="2" fontId="24" numFmtId="0" xfId="0" applyAlignment="1" applyFont="1">
      <alignment horizontal="center" readingOrder="0" shrinkToFit="0" vertical="center" wrapText="0"/>
    </xf>
    <xf borderId="0" fillId="2" fontId="24" numFmtId="0" xfId="0" applyAlignment="1" applyFont="1">
      <alignment horizontal="center" readingOrder="0" shrinkToFit="0" vertical="center" wrapText="1"/>
    </xf>
    <xf borderId="4" fillId="2" fontId="14" numFmtId="0" xfId="0" applyAlignment="1" applyBorder="1" applyFont="1">
      <alignment horizontal="center" readingOrder="0" shrinkToFit="0" vertical="center" wrapText="1"/>
    </xf>
    <xf borderId="3" fillId="20" fontId="12" numFmtId="0" xfId="0" applyAlignment="1" applyBorder="1" applyFill="1" applyFont="1">
      <alignment horizontal="center" readingOrder="0" shrinkToFit="0" vertical="center" wrapText="0"/>
    </xf>
    <xf borderId="0" fillId="0" fontId="10" numFmtId="0" xfId="0" applyAlignment="1" applyFont="1">
      <alignment horizontal="center" vertical="center"/>
    </xf>
    <xf borderId="3" fillId="21" fontId="12" numFmtId="0" xfId="0" applyAlignment="1" applyBorder="1" applyFill="1" applyFont="1">
      <alignment horizontal="center" readingOrder="0" shrinkToFit="0" vertical="center" wrapText="0"/>
    </xf>
    <xf borderId="0" fillId="2" fontId="10" numFmtId="0" xfId="0" applyAlignment="1" applyFont="1">
      <alignment horizontal="center" vertical="center"/>
    </xf>
    <xf borderId="5" fillId="19" fontId="12" numFmtId="0" xfId="0" applyAlignment="1" applyBorder="1" applyFont="1">
      <alignment horizontal="center" readingOrder="0" shrinkToFit="0" vertical="center" wrapText="0"/>
    </xf>
    <xf borderId="7" fillId="0" fontId="14" numFmtId="0" xfId="0" applyAlignment="1" applyBorder="1" applyFont="1">
      <alignment horizontal="center" readingOrder="0" shrinkToFit="0" vertical="center" wrapText="0"/>
    </xf>
    <xf borderId="7" fillId="2" fontId="14" numFmtId="164" xfId="0" applyAlignment="1" applyBorder="1" applyFont="1" applyNumberFormat="1">
      <alignment horizontal="center" readingOrder="0" shrinkToFit="0" vertical="center" wrapText="1"/>
    </xf>
    <xf borderId="3" fillId="22" fontId="12" numFmtId="0" xfId="0" applyAlignment="1" applyBorder="1" applyFill="1" applyFont="1">
      <alignment horizontal="center" readingOrder="0" shrinkToFit="0" vertical="center" wrapText="0"/>
    </xf>
    <xf borderId="0" fillId="0" fontId="1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vertical="center"/>
    </xf>
    <xf borderId="0" fillId="2" fontId="26" numFmtId="0" xfId="0" applyAlignment="1" applyFon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0" fontId="28" numFmtId="0" xfId="0" applyAlignment="1" applyFont="1">
      <alignment horizontal="center" readingOrder="0" vertical="center"/>
    </xf>
    <xf borderId="0" fillId="0" fontId="29" numFmtId="0" xfId="0" applyAlignment="1" applyFont="1">
      <alignment horizontal="center" readingOrder="0" vertical="center"/>
    </xf>
    <xf borderId="8" fillId="2" fontId="30" numFmtId="0" xfId="0" applyAlignment="1" applyBorder="1" applyFont="1">
      <alignment horizontal="center" readingOrder="0" shrinkToFit="0" wrapText="0"/>
    </xf>
    <xf borderId="8" fillId="2" fontId="31" numFmtId="0" xfId="0" applyAlignment="1" applyBorder="1" applyFont="1">
      <alignment horizontal="center" readingOrder="0" shrinkToFit="0" wrapText="0"/>
    </xf>
    <xf borderId="8" fillId="2" fontId="32" numFmtId="0" xfId="0" applyAlignment="1" applyBorder="1" applyFont="1">
      <alignment horizontal="center" readingOrder="0" shrinkToFit="0" wrapText="0"/>
    </xf>
    <xf borderId="8" fillId="2" fontId="33" numFmtId="164" xfId="0" applyAlignment="1" applyBorder="1" applyFont="1" applyNumberFormat="1">
      <alignment horizontal="center" readingOrder="0" shrinkToFit="0" wrapText="0"/>
    </xf>
    <xf borderId="8" fillId="2" fontId="34" numFmtId="164" xfId="0" applyAlignment="1" applyBorder="1" applyFont="1" applyNumberFormat="1">
      <alignment horizontal="center" readingOrder="0" shrinkToFit="0" wrapText="0"/>
    </xf>
    <xf borderId="8" fillId="2" fontId="32" numFmtId="0" xfId="0" applyAlignment="1" applyBorder="1" applyFont="1">
      <alignment horizontal="center" readingOrder="0"/>
    </xf>
    <xf borderId="8" fillId="2" fontId="35" numFmtId="0" xfId="0" applyAlignment="1" applyBorder="1" applyFont="1">
      <alignment horizontal="center" readingOrder="0" shrinkToFit="0" wrapText="0"/>
    </xf>
    <xf borderId="8" fillId="2" fontId="33" numFmtId="0" xfId="0" applyAlignment="1" applyBorder="1" applyFont="1">
      <alignment horizontal="center" readingOrder="0" shrinkToFit="0" wrapText="0"/>
    </xf>
    <xf borderId="8" fillId="2" fontId="33" numFmtId="0" xfId="0" applyAlignment="1" applyBorder="1" applyFont="1">
      <alignment horizontal="center" readingOrder="0"/>
    </xf>
    <xf borderId="8" fillId="2" fontId="33" numFmtId="164" xfId="0" applyAlignment="1" applyBorder="1" applyFont="1" applyNumberFormat="1">
      <alignment horizontal="center" readingOrder="0" shrinkToFit="0" wrapText="0"/>
    </xf>
    <xf borderId="8" fillId="2" fontId="33" numFmtId="0" xfId="0" applyAlignment="1" applyBorder="1" applyFont="1">
      <alignment horizontal="center" readingOrder="0" shrinkToFit="0" wrapText="0"/>
    </xf>
    <xf borderId="9" fillId="0" fontId="33" numFmtId="0" xfId="0" applyAlignment="1" applyBorder="1" applyFont="1">
      <alignment shrinkToFit="0" wrapText="0"/>
    </xf>
    <xf borderId="0" fillId="0" fontId="26" numFmtId="0" xfId="0" applyAlignment="1" applyFont="1">
      <alignment horizontal="center"/>
    </xf>
    <xf borderId="0" fillId="0" fontId="26" numFmtId="0" xfId="0" applyFont="1"/>
    <xf borderId="0" fillId="0" fontId="26" numFmtId="164" xfId="0" applyFont="1" applyNumberFormat="1"/>
    <xf borderId="0" fillId="0" fontId="25" numFmtId="0" xfId="0" applyAlignment="1" applyFont="1">
      <alignment horizontal="center"/>
    </xf>
    <xf borderId="0" fillId="2" fontId="36" numFmtId="0" xfId="0" applyAlignment="1" applyFont="1">
      <alignment horizontal="center" readingOrder="0" shrinkToFit="0" vertical="center" wrapText="0"/>
    </xf>
    <xf borderId="0" fillId="2" fontId="6" numFmtId="0" xfId="0" applyAlignment="1" applyFont="1">
      <alignment horizontal="center" readingOrder="0" shrinkToFit="0" vertical="center" wrapText="0"/>
    </xf>
    <xf borderId="1" fillId="2" fontId="6" numFmtId="0" xfId="0" applyAlignment="1" applyBorder="1" applyFont="1">
      <alignment horizontal="center" readingOrder="0" shrinkToFit="0" vertical="center" wrapText="0"/>
    </xf>
    <xf borderId="0" fillId="2" fontId="37" numFmtId="0" xfId="0" applyAlignment="1" applyFont="1">
      <alignment horizontal="right" readingOrder="0" shrinkToFit="0" vertical="center" wrapText="0"/>
    </xf>
    <xf borderId="0" fillId="2" fontId="9" numFmtId="0" xfId="0" applyAlignment="1" applyFont="1">
      <alignment horizontal="left" readingOrder="0" shrinkToFit="0" vertical="center" wrapText="0"/>
    </xf>
    <xf borderId="0" fillId="2" fontId="30" numFmtId="0" xfId="0" applyAlignment="1" applyFont="1">
      <alignment horizontal="center" readingOrder="0" shrinkToFit="0" vertical="center" wrapText="0"/>
    </xf>
    <xf borderId="0" fillId="2" fontId="30" numFmtId="0" xfId="0" applyAlignment="1" applyFont="1">
      <alignment horizontal="center" readingOrder="0" shrinkToFit="0" vertical="center" wrapText="1"/>
    </xf>
    <xf borderId="10" fillId="23" fontId="31" numFmtId="0" xfId="0" applyAlignment="1" applyBorder="1" applyFill="1" applyFont="1">
      <alignment horizontal="center" readingOrder="0" shrinkToFit="0" vertical="center" wrapText="0"/>
    </xf>
    <xf borderId="11" fillId="23" fontId="31" numFmtId="0" xfId="0" applyAlignment="1" applyBorder="1" applyFont="1">
      <alignment horizontal="center" readingOrder="0" shrinkToFit="0" vertical="center" wrapText="1"/>
    </xf>
    <xf borderId="12" fillId="0" fontId="25" numFmtId="0" xfId="0" applyBorder="1" applyFont="1"/>
    <xf borderId="0" fillId="0" fontId="30" numFmtId="0" xfId="0" applyAlignment="1" applyFont="1">
      <alignment horizontal="center" vertical="center"/>
    </xf>
    <xf borderId="8" fillId="20" fontId="31" numFmtId="0" xfId="0" applyAlignment="1" applyBorder="1" applyFont="1">
      <alignment horizontal="center" readingOrder="0" shrinkToFit="0" vertical="center" wrapText="0"/>
    </xf>
    <xf borderId="8" fillId="20" fontId="31" numFmtId="0" xfId="0" applyAlignment="1" applyBorder="1" applyFont="1">
      <alignment horizontal="center" readingOrder="0" shrinkToFit="0" vertical="center" wrapText="1"/>
    </xf>
    <xf borderId="8" fillId="2" fontId="30" numFmtId="0" xfId="0" applyAlignment="1" applyBorder="1" applyFont="1">
      <alignment horizontal="center" readingOrder="0" shrinkToFit="0" vertical="center" wrapText="0"/>
    </xf>
    <xf borderId="8" fillId="2" fontId="30" numFmtId="0" xfId="0" applyAlignment="1" applyBorder="1" applyFont="1">
      <alignment horizontal="center" readingOrder="0" shrinkToFit="0" vertical="center" wrapText="1"/>
    </xf>
    <xf borderId="8" fillId="0" fontId="30" numFmtId="0" xfId="0" applyAlignment="1" applyBorder="1" applyFont="1">
      <alignment horizontal="center" vertical="center"/>
    </xf>
    <xf borderId="0" fillId="2" fontId="30" numFmtId="0" xfId="0" applyAlignment="1" applyFont="1">
      <alignment horizontal="center" vertical="center"/>
    </xf>
    <xf borderId="0" fillId="2" fontId="30" numFmtId="0" xfId="0" applyAlignment="1" applyFont="1">
      <alignment horizontal="center" readingOrder="0" vertical="center"/>
    </xf>
  </cellXfs>
  <cellStyles count="1">
    <cellStyle xfId="0" name="Normal" builtinId="0"/>
  </cellStyles>
  <dxfs count="1">
    <dxf>
      <font>
        <b/>
      </font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3.44" defaultRowHeight="15.0"/>
  <cols>
    <col customWidth="1" min="1" max="1" width="2.33"/>
    <col customWidth="1" min="2" max="2" width="17.67"/>
    <col customWidth="1" min="3" max="3" width="16.78"/>
    <col customWidth="1" min="4" max="4" width="17.44"/>
    <col customWidth="1" min="5" max="75" width="52.11"/>
  </cols>
  <sheetData>
    <row r="1" ht="6.7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</row>
    <row r="2" ht="26.25" customHeight="1">
      <c r="A2" s="5"/>
      <c r="B2" s="6" t="s">
        <v>1</v>
      </c>
      <c r="C2" s="7">
        <f>TODAY()</f>
        <v>46161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</row>
    <row r="3" ht="16.5" customHeight="1">
      <c r="A3" s="5"/>
      <c r="B3" s="9"/>
      <c r="C3" s="10" t="s">
        <v>2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</row>
    <row r="4" ht="6.0" customHeight="1">
      <c r="A4" s="12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</row>
    <row r="5" ht="21.0" customHeight="1">
      <c r="A5" s="14"/>
      <c r="B5" s="15" t="s">
        <v>3</v>
      </c>
      <c r="C5" s="16" t="s">
        <v>4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</row>
    <row r="6" ht="21.0" customHeight="1">
      <c r="A6" s="14"/>
      <c r="B6" s="18" t="s">
        <v>5</v>
      </c>
      <c r="C6" s="18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</row>
    <row r="7" ht="21.0" customHeight="1">
      <c r="A7" s="19"/>
      <c r="B7" s="20" t="s">
        <v>6</v>
      </c>
      <c r="C7" s="21" t="str">
        <f>vlookup(B7,'재고 백업'!$A:$B,2,0)</f>
        <v>-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</row>
    <row r="8" ht="21.0" customHeight="1">
      <c r="A8" s="19"/>
      <c r="B8" s="22"/>
      <c r="C8" s="22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</row>
    <row r="9" ht="21.0" customHeight="1">
      <c r="A9" s="23"/>
      <c r="B9" s="24" t="s">
        <v>7</v>
      </c>
      <c r="C9" s="24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</row>
    <row r="10" ht="21.0" customHeight="1">
      <c r="A10" s="23"/>
      <c r="B10" s="21" t="s">
        <v>8</v>
      </c>
      <c r="C10" s="26" t="str">
        <f>vlookup(B10,'재고 백업'!$A:$B,2,0)</f>
        <v>-</v>
      </c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</row>
    <row r="11" ht="21.0" customHeight="1">
      <c r="A11" s="23"/>
      <c r="B11" s="21" t="s">
        <v>9</v>
      </c>
      <c r="C11" s="26" t="str">
        <f>vlookup(B11,'재고 백업'!$A:$B,2,0)</f>
        <v>-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</row>
    <row r="12" ht="21.0" customHeight="1">
      <c r="A12" s="23"/>
      <c r="B12" s="27"/>
      <c r="C12" s="27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</row>
    <row r="13" ht="21.0" customHeight="1">
      <c r="A13" s="23"/>
      <c r="B13" s="24" t="s">
        <v>10</v>
      </c>
      <c r="C13" s="24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</row>
    <row r="14" ht="21.0" customHeight="1">
      <c r="A14" s="23"/>
      <c r="B14" s="21" t="s">
        <v>11</v>
      </c>
      <c r="C14" s="26">
        <f>vlookup(B14,'재고 백업'!$A:$B,2,0)</f>
        <v>5</v>
      </c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</row>
    <row r="15" ht="21.0" customHeight="1">
      <c r="A15" s="23"/>
      <c r="B15" s="21" t="s">
        <v>12</v>
      </c>
      <c r="C15" s="26">
        <f>vlookup(B15,'재고 백업'!$A:$B,2,0)</f>
        <v>15</v>
      </c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</row>
    <row r="16" ht="21.0" customHeight="1">
      <c r="A16" s="28"/>
      <c r="B16" s="27"/>
      <c r="C16" s="27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</row>
    <row r="17" ht="21.0" customHeight="1">
      <c r="A17" s="28"/>
      <c r="B17" s="29" t="s">
        <v>13</v>
      </c>
      <c r="C17" s="29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</row>
    <row r="18" ht="21.0" customHeight="1">
      <c r="A18" s="28"/>
      <c r="B18" s="21" t="s">
        <v>14</v>
      </c>
      <c r="C18" s="26" t="str">
        <f>vlookup(B18,'재고 백업'!$A:$B,2,0)</f>
        <v>-</v>
      </c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</row>
    <row r="19" ht="21.0" customHeight="1">
      <c r="A19" s="28"/>
      <c r="B19" s="27"/>
      <c r="C19" s="27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</row>
    <row r="20" ht="21.0" customHeight="1">
      <c r="A20" s="28"/>
      <c r="B20" s="29" t="s">
        <v>15</v>
      </c>
      <c r="C20" s="29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</row>
    <row r="21" ht="21.0" customHeight="1">
      <c r="A21" s="28"/>
      <c r="B21" s="30" t="s">
        <v>16</v>
      </c>
      <c r="C21" s="26" t="str">
        <f>vlookup(B21,'재고 백업'!$A:$B,2,0)</f>
        <v>-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</row>
    <row r="22" ht="21.0" customHeight="1">
      <c r="A22" s="28"/>
      <c r="B22" s="30" t="s">
        <v>17</v>
      </c>
      <c r="C22" s="26">
        <f>vlookup(B22,'재고 백업'!$A:$B,2,0)</f>
        <v>88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</row>
    <row r="23" ht="21.0" customHeight="1">
      <c r="A23" s="28"/>
      <c r="B23" s="30" t="s">
        <v>18</v>
      </c>
      <c r="C23" s="26">
        <f>vlookup(B23,'재고 백업'!$A:$B,2,0)</f>
        <v>389</v>
      </c>
      <c r="D23" s="31"/>
      <c r="E23" s="25" t="s">
        <v>19</v>
      </c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</row>
    <row r="24" ht="21.0" customHeight="1">
      <c r="A24" s="28"/>
      <c r="B24" s="30" t="s">
        <v>20</v>
      </c>
      <c r="C24" s="26">
        <f>vlookup(B24,'재고 백업'!$A:$B,2,0)</f>
        <v>149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</row>
    <row r="25" ht="21.0" customHeight="1">
      <c r="A25" s="28"/>
      <c r="B25" s="30" t="s">
        <v>21</v>
      </c>
      <c r="C25" s="26">
        <f>vlookup(B25,'재고 백업'!$A:$B,2,0)</f>
        <v>129</v>
      </c>
      <c r="D25" s="25"/>
      <c r="E25" s="25" t="s">
        <v>22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</row>
    <row r="26" ht="21.0" customHeight="1">
      <c r="A26" s="28"/>
      <c r="B26" s="30" t="s">
        <v>23</v>
      </c>
      <c r="C26" s="26" t="str">
        <f>vlookup(B26,'재고 백업'!$A:$B,2,0)</f>
        <v>-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</row>
    <row r="27" ht="21.0" customHeight="1">
      <c r="A27" s="28"/>
      <c r="B27" s="30" t="s">
        <v>24</v>
      </c>
      <c r="C27" s="26">
        <f>vlookup(B27,'재고 백업'!$A:$B,2,0)</f>
        <v>114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</row>
    <row r="28" ht="21.0" customHeight="1">
      <c r="A28" s="28"/>
      <c r="B28" s="30" t="s">
        <v>25</v>
      </c>
      <c r="C28" s="26">
        <f>vlookup(B28,'재고 백업'!$A:$B,2,0)</f>
        <v>160</v>
      </c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</row>
    <row r="29" ht="21.0" customHeight="1">
      <c r="A29" s="28"/>
      <c r="B29" s="30" t="s">
        <v>26</v>
      </c>
      <c r="C29" s="26">
        <f>vlookup(B29,'재고 백업'!$A:$B,2,0)</f>
        <v>54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</row>
    <row r="30" ht="21.0" customHeight="1">
      <c r="A30" s="28"/>
      <c r="B30" s="30" t="s">
        <v>27</v>
      </c>
      <c r="C30" s="26">
        <f>vlookup(B30,'재고 백업'!$A:$B,2,0)</f>
        <v>81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</row>
    <row r="31" ht="21.0" customHeight="1">
      <c r="A31" s="28"/>
      <c r="B31" s="30" t="s">
        <v>28</v>
      </c>
      <c r="C31" s="26">
        <f>vlookup(B31,'재고 백업'!$A:$B,2,0)</f>
        <v>87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</row>
    <row r="32" ht="21.0" customHeight="1">
      <c r="A32" s="28"/>
      <c r="B32" s="30" t="s">
        <v>29</v>
      </c>
      <c r="C32" s="26">
        <f>vlookup(B32,'재고 백업'!$A:$B,2,0)</f>
        <v>83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</row>
    <row r="33" ht="21.0" customHeight="1">
      <c r="A33" s="28"/>
      <c r="B33" s="30" t="s">
        <v>30</v>
      </c>
      <c r="C33" s="26">
        <f>vlookup(B33,'재고 백업'!$A:$B,2,0)</f>
        <v>97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</row>
    <row r="34" ht="21.0" customHeight="1">
      <c r="A34" s="28"/>
      <c r="B34" s="30" t="s">
        <v>31</v>
      </c>
      <c r="C34" s="26" t="str">
        <f>vlookup(B34,'재고 백업'!$A:$B,2,0)</f>
        <v>-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</row>
    <row r="35" ht="21.0" customHeight="1">
      <c r="A35" s="28"/>
      <c r="B35" s="30" t="s">
        <v>32</v>
      </c>
      <c r="C35" s="26">
        <f>vlookup(B35,'재고 백업'!$A:$B,2,0)</f>
        <v>116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</row>
    <row r="36" ht="21.0" customHeight="1">
      <c r="A36" s="28"/>
      <c r="B36" s="30" t="s">
        <v>33</v>
      </c>
      <c r="C36" s="26">
        <f>vlookup(B36,'재고 백업'!$A:$B,2,0)</f>
        <v>85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</row>
    <row r="37" ht="21.0" customHeight="1">
      <c r="A37" s="28"/>
      <c r="B37" s="30" t="s">
        <v>34</v>
      </c>
      <c r="C37" s="26">
        <f>vlookup(B37,'재고 백업'!$A:$B,2,0)</f>
        <v>44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</row>
    <row r="38" ht="21.0" customHeight="1">
      <c r="A38" s="28"/>
      <c r="B38" s="30" t="s">
        <v>35</v>
      </c>
      <c r="C38" s="26">
        <f>vlookup(B38,'재고 백업'!$A:$B,2,0)</f>
        <v>60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</row>
    <row r="39" ht="21.0" customHeight="1">
      <c r="A39" s="28"/>
      <c r="B39" s="30" t="s">
        <v>36</v>
      </c>
      <c r="C39" s="26">
        <f>vlookup(B39,'재고 백업'!$A:$B,2,0)</f>
        <v>48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</row>
    <row r="40" ht="21.0" customHeight="1">
      <c r="A40" s="28"/>
      <c r="B40" s="30" t="s">
        <v>37</v>
      </c>
      <c r="C40" s="26">
        <f>vlookup(B40,'재고 백업'!$A:$B,2,0)</f>
        <v>60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</row>
    <row r="41" ht="21.0" customHeight="1">
      <c r="A41" s="28"/>
      <c r="B41" s="30" t="s">
        <v>38</v>
      </c>
      <c r="C41" s="26">
        <f>vlookup(B41,'재고 백업'!$A:$B,2,0)</f>
        <v>60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</row>
    <row r="42" ht="21.0" customHeight="1">
      <c r="A42" s="28"/>
      <c r="B42" s="30" t="s">
        <v>39</v>
      </c>
      <c r="C42" s="26" t="str">
        <f>vlookup(B42,'재고 백업'!$A:$B,2,0)</f>
        <v>-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5"/>
      <c r="BW42" s="25"/>
    </row>
    <row r="43" ht="21.0" customHeight="1">
      <c r="A43" s="28"/>
      <c r="B43" s="30" t="s">
        <v>40</v>
      </c>
      <c r="C43" s="21" t="str">
        <f>vlookup(B43,'재고 백업'!$A:$B,2,0)</f>
        <v>-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</row>
    <row r="44" ht="21.0" customHeight="1">
      <c r="A44" s="28"/>
      <c r="B44" s="30" t="s">
        <v>41</v>
      </c>
      <c r="C44" s="26">
        <f>vlookup(B44,'재고 백업'!$A:$B,2,0)</f>
        <v>46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</row>
    <row r="45" ht="21.0" customHeight="1">
      <c r="A45" s="28"/>
      <c r="B45" s="30" t="s">
        <v>42</v>
      </c>
      <c r="C45" s="26">
        <f>vlookup(B45,'재고 백업'!$A:$B,2,0)</f>
        <v>21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</row>
    <row r="46" ht="21.0" customHeight="1">
      <c r="A46" s="28"/>
      <c r="B46" s="30" t="s">
        <v>43</v>
      </c>
      <c r="C46" s="26">
        <f>vlookup(B46,'재고 백업'!$A:$B,2,0)</f>
        <v>17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</row>
    <row r="47" ht="21.0" customHeight="1">
      <c r="A47" s="28"/>
      <c r="B47" s="30" t="s">
        <v>44</v>
      </c>
      <c r="C47" s="26">
        <f>vlookup(B47,'재고 백업'!$A:$B,2,0)</f>
        <v>41</v>
      </c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</row>
    <row r="48" ht="21.0" customHeight="1">
      <c r="A48" s="28"/>
      <c r="B48" s="30" t="s">
        <v>45</v>
      </c>
      <c r="C48" s="26">
        <f>vlookup(B48,'재고 백업'!$A:$B,2,0)</f>
        <v>19</v>
      </c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  <c r="BG48" s="25"/>
      <c r="BH48" s="25"/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5"/>
      <c r="BW48" s="25"/>
    </row>
    <row r="49" ht="21.0" customHeight="1">
      <c r="A49" s="28"/>
      <c r="B49" s="30" t="s">
        <v>46</v>
      </c>
      <c r="C49" s="26">
        <f>vlookup(B49,'재고 백업'!$A:$B,2,0)</f>
        <v>55</v>
      </c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</row>
    <row r="50" ht="21.0" customHeight="1">
      <c r="A50" s="28"/>
      <c r="B50" s="30" t="s">
        <v>47</v>
      </c>
      <c r="C50" s="26">
        <f>vlookup(B50,'재고 백업'!$A:$B,2,0)</f>
        <v>34</v>
      </c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</row>
    <row r="51" ht="21.0" customHeight="1">
      <c r="A51" s="28"/>
      <c r="B51" s="30" t="s">
        <v>48</v>
      </c>
      <c r="C51" s="26">
        <f>vlookup(B51,'재고 백업'!$A:$B,2,0)</f>
        <v>53</v>
      </c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</row>
    <row r="52" ht="21.0" customHeight="1">
      <c r="A52" s="28"/>
      <c r="B52" s="30" t="s">
        <v>49</v>
      </c>
      <c r="C52" s="26">
        <f>vlookup(B52,'재고 백업'!$A:$B,2,0)</f>
        <v>10</v>
      </c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</row>
    <row r="53" ht="21.0" customHeight="1">
      <c r="A53" s="28"/>
      <c r="B53" s="30" t="s">
        <v>50</v>
      </c>
      <c r="C53" s="26">
        <f>vlookup(B53,'재고 백업'!$A:$B,2,0)</f>
        <v>100</v>
      </c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</row>
    <row r="54" ht="21.0" customHeight="1">
      <c r="A54" s="28"/>
      <c r="B54" s="30" t="s">
        <v>51</v>
      </c>
      <c r="C54" s="26">
        <f>vlookup(B54,'재고 백업'!$A:$B,2,0)</f>
        <v>23</v>
      </c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</row>
    <row r="55" ht="21.0" customHeight="1">
      <c r="A55" s="28"/>
      <c r="B55" s="27"/>
      <c r="C55" s="27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5"/>
      <c r="BW55" s="25"/>
    </row>
    <row r="56" ht="21.0" customHeight="1">
      <c r="A56" s="28"/>
      <c r="B56" s="32" t="s">
        <v>52</v>
      </c>
      <c r="C56" s="32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</row>
    <row r="57" ht="21.0" customHeight="1">
      <c r="A57" s="28"/>
      <c r="B57" s="21" t="s">
        <v>53</v>
      </c>
      <c r="C57" s="26" t="str">
        <f>vlookup(B57,'재고 백업'!$A:$B,2,0)</f>
        <v>-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</row>
    <row r="58" ht="21.0" customHeight="1">
      <c r="A58" s="28"/>
      <c r="B58" s="21" t="s">
        <v>54</v>
      </c>
      <c r="C58" s="26" t="str">
        <f>vlookup(B58,'재고 백업'!$A:$B,2,0)</f>
        <v>-</v>
      </c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</row>
    <row r="59" ht="21.0" customHeight="1">
      <c r="A59" s="28"/>
      <c r="B59" s="27"/>
      <c r="C59" s="27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</row>
    <row r="60" ht="21.0" customHeight="1">
      <c r="A60" s="28"/>
      <c r="B60" s="32" t="s">
        <v>55</v>
      </c>
      <c r="C60" s="32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</row>
    <row r="61" ht="21.0" customHeight="1">
      <c r="A61" s="28"/>
      <c r="B61" s="21" t="s">
        <v>56</v>
      </c>
      <c r="C61" s="26" t="str">
        <f>vlookup(B61,'재고 백업'!$A:$B,2,0)</f>
        <v>-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</row>
    <row r="62" ht="21.0" customHeight="1">
      <c r="A62" s="28"/>
      <c r="B62" s="27"/>
      <c r="C62" s="27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</row>
    <row r="63" ht="21.0" customHeight="1">
      <c r="A63" s="28"/>
      <c r="B63" s="32" t="s">
        <v>57</v>
      </c>
      <c r="C63" s="32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</row>
    <row r="64" ht="21.0" customHeight="1">
      <c r="A64" s="28"/>
      <c r="B64" s="21" t="s">
        <v>58</v>
      </c>
      <c r="C64" s="26">
        <f>vlookup(B64,'재고 백업'!$A:$B,2,0)</f>
        <v>202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</row>
    <row r="65" ht="21.0" customHeight="1">
      <c r="A65" s="28"/>
      <c r="B65" s="33"/>
      <c r="C65" s="34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</row>
    <row r="66" ht="21.0" customHeight="1">
      <c r="A66" s="28"/>
      <c r="B66" s="29" t="s">
        <v>59</v>
      </c>
      <c r="C66" s="29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</row>
    <row r="67" ht="21.0" customHeight="1">
      <c r="A67" s="28"/>
      <c r="B67" s="21" t="s">
        <v>60</v>
      </c>
      <c r="C67" s="26" t="str">
        <f>vlookup(B67,'재고 백업'!$A:$B,2,0)</f>
        <v>-</v>
      </c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</row>
    <row r="68" ht="21.0" customHeight="1">
      <c r="A68" s="28"/>
      <c r="B68" s="21" t="s">
        <v>61</v>
      </c>
      <c r="C68" s="26" t="str">
        <f>vlookup(B68,'재고 백업'!$A:$B,2,0)</f>
        <v>-</v>
      </c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</row>
    <row r="69" ht="21.0" customHeight="1">
      <c r="A69" s="28"/>
      <c r="B69" s="21" t="s">
        <v>62</v>
      </c>
      <c r="C69" s="26" t="str">
        <f>vlookup(B69,'재고 백업'!$A:$B,2,0)</f>
        <v>-</v>
      </c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</row>
    <row r="70" ht="21.0" customHeight="1">
      <c r="A70" s="28"/>
      <c r="B70" s="21" t="s">
        <v>63</v>
      </c>
      <c r="C70" s="26">
        <f>vlookup(B70,'재고 백업'!$A:$B,2,0)</f>
        <v>1</v>
      </c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</row>
    <row r="71" ht="21.0" customHeight="1">
      <c r="A71" s="28"/>
      <c r="B71" s="33"/>
      <c r="C71" s="34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</row>
    <row r="72" ht="21.0" customHeight="1">
      <c r="A72" s="28"/>
      <c r="B72" s="29" t="s">
        <v>64</v>
      </c>
      <c r="C72" s="29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</row>
    <row r="73" ht="21.0" customHeight="1">
      <c r="A73" s="28"/>
      <c r="B73" s="21" t="s">
        <v>65</v>
      </c>
      <c r="C73" s="21" t="str">
        <f>vlookup(B73,'재고 백업'!$A:$B,2,0)</f>
        <v>-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</row>
    <row r="74" ht="21.0" customHeight="1">
      <c r="A74" s="28"/>
      <c r="B74" s="21" t="s">
        <v>66</v>
      </c>
      <c r="C74" s="21" t="str">
        <f>vlookup(B74,'재고 백업'!$A:$B,2,0)</f>
        <v>-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</row>
    <row r="75" ht="21.0" customHeight="1">
      <c r="A75" s="28"/>
      <c r="B75" s="33"/>
      <c r="C75" s="34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</row>
    <row r="76" ht="21.0" customHeight="1">
      <c r="A76" s="28"/>
      <c r="B76" s="35" t="s">
        <v>67</v>
      </c>
      <c r="C76" s="3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</row>
    <row r="77" ht="21.0" customHeight="1">
      <c r="A77" s="28"/>
      <c r="B77" s="36" t="s">
        <v>68</v>
      </c>
      <c r="C77" s="26">
        <f>vlookup(B77,'재고 백업'!$A:$B,2,0)</f>
        <v>37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</row>
    <row r="78" ht="21.0" customHeight="1">
      <c r="A78" s="28"/>
      <c r="B78" s="36" t="s">
        <v>69</v>
      </c>
      <c r="C78" s="26">
        <f>vlookup(B78,'재고 백업'!$A:$B,2,0)</f>
        <v>25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</row>
    <row r="79" ht="21.0" customHeight="1">
      <c r="A79" s="28"/>
      <c r="B79" s="36" t="s">
        <v>70</v>
      </c>
      <c r="C79" s="26">
        <f>vlookup(B79,'재고 백업'!$A:$B,2,0)</f>
        <v>21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</row>
    <row r="80" ht="21.0" customHeight="1">
      <c r="A80" s="28"/>
      <c r="B80" s="33"/>
      <c r="C80" s="34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</row>
    <row r="81" ht="21.0" customHeight="1">
      <c r="A81" s="28"/>
      <c r="B81" s="32" t="s">
        <v>71</v>
      </c>
      <c r="C81" s="32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</row>
    <row r="82" ht="21.0" customHeight="1">
      <c r="A82" s="28"/>
      <c r="B82" s="21" t="s">
        <v>72</v>
      </c>
      <c r="C82" s="26">
        <f>vlookup(B82,'재고 백업'!$A:$B,2,0)</f>
        <v>36</v>
      </c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</row>
    <row r="83" ht="21.0" customHeight="1">
      <c r="A83" s="28"/>
      <c r="B83" s="21" t="s">
        <v>73</v>
      </c>
      <c r="C83" s="26" t="str">
        <f>vlookup(B83,'재고 백업'!$A:$B,2,0)</f>
        <v>-</v>
      </c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</row>
    <row r="84" ht="21.0" customHeight="1">
      <c r="A84" s="28"/>
      <c r="B84" s="33"/>
      <c r="C84" s="34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</row>
    <row r="85" ht="21.0" customHeight="1">
      <c r="A85" s="28"/>
      <c r="B85" s="37" t="s">
        <v>74</v>
      </c>
      <c r="C85" s="37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</row>
    <row r="86" ht="21.0" customHeight="1">
      <c r="A86" s="28"/>
      <c r="B86" s="36" t="s">
        <v>75</v>
      </c>
      <c r="C86" s="26">
        <f>vlookup(B86,'재고 백업'!$A:$B,2,0)</f>
        <v>56</v>
      </c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</row>
    <row r="87" ht="21.0" customHeight="1">
      <c r="A87" s="28"/>
      <c r="B87" s="36" t="s">
        <v>76</v>
      </c>
      <c r="C87" s="26">
        <f>vlookup(B87,'재고 백업'!$A:$B,2,0)</f>
        <v>207</v>
      </c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</row>
    <row r="88" ht="21.0" customHeight="1">
      <c r="A88" s="28"/>
      <c r="B88" s="36" t="s">
        <v>77</v>
      </c>
      <c r="C88" s="26">
        <f>vlookup(B88,'재고 백업'!$A:$B,2,0)</f>
        <v>38</v>
      </c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</row>
    <row r="89" ht="21.0" customHeight="1">
      <c r="A89" s="28"/>
      <c r="B89" s="36" t="s">
        <v>78</v>
      </c>
      <c r="C89" s="21" t="str">
        <f>vlookup(B89,'재고 백업'!$A:$B,2,0)</f>
        <v>-</v>
      </c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</row>
    <row r="90" ht="21.0" customHeight="1">
      <c r="A90" s="28"/>
      <c r="B90" s="36" t="s">
        <v>79</v>
      </c>
      <c r="C90" s="26">
        <f>vlookup(B90,'재고 백업'!$A:$B,2,0)</f>
        <v>209</v>
      </c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</row>
    <row r="91" ht="21.0" customHeight="1">
      <c r="A91" s="28"/>
      <c r="B91" s="36" t="s">
        <v>80</v>
      </c>
      <c r="C91" s="26">
        <f>vlookup(B91,'재고 백업'!$A:$B,2,0)</f>
        <v>118</v>
      </c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</row>
    <row r="92" ht="21.0" customHeight="1">
      <c r="A92" s="28"/>
      <c r="B92" s="33"/>
      <c r="C92" s="34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</row>
    <row r="93" ht="21.0" customHeight="1">
      <c r="A93" s="28"/>
      <c r="B93" s="38" t="s">
        <v>81</v>
      </c>
      <c r="C93" s="38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</row>
    <row r="94" ht="21.0" customHeight="1">
      <c r="A94" s="28"/>
      <c r="B94" s="36" t="s">
        <v>82</v>
      </c>
      <c r="C94" s="26">
        <f>vlookup(B94,'재고 백업'!$A:$B,2,0)</f>
        <v>16</v>
      </c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</row>
    <row r="95" ht="21.0" customHeight="1">
      <c r="A95" s="28"/>
      <c r="B95" s="36" t="s">
        <v>83</v>
      </c>
      <c r="C95" s="26">
        <f>vlookup(B95,'재고 백업'!$A:$B,2,0)</f>
        <v>7</v>
      </c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</row>
    <row r="96" ht="21.0" customHeight="1">
      <c r="A96" s="28"/>
      <c r="B96" s="36" t="s">
        <v>84</v>
      </c>
      <c r="C96" s="26">
        <f>vlookup(B96,'재고 백업'!$A:$B,2,0)</f>
        <v>25</v>
      </c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</row>
    <row r="97" ht="21.0" customHeight="1">
      <c r="A97" s="28"/>
      <c r="B97" s="36" t="s">
        <v>85</v>
      </c>
      <c r="C97" s="26" t="str">
        <f>vlookup(B97,'재고 백업'!$A:$B,2,0)</f>
        <v>-</v>
      </c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</row>
    <row r="98" ht="21.0" customHeight="1">
      <c r="A98" s="28"/>
      <c r="B98" s="36" t="s">
        <v>86</v>
      </c>
      <c r="C98" s="26">
        <f>vlookup(B98,'재고 백업'!$A:$B,2,0)</f>
        <v>15</v>
      </c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</row>
    <row r="99" ht="21.0" customHeight="1">
      <c r="A99" s="28"/>
      <c r="B99" s="36" t="s">
        <v>87</v>
      </c>
      <c r="C99" s="26">
        <f>vlookup(B99,'재고 백업'!$A:$B,2,0)</f>
        <v>32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</row>
    <row r="100" ht="21.0" customHeight="1">
      <c r="A100" s="28"/>
      <c r="B100" s="36" t="s">
        <v>88</v>
      </c>
      <c r="C100" s="26">
        <f>vlookup(B100,'재고 백업'!$A:$B,2,0)</f>
        <v>22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</row>
    <row r="101" ht="21.0" customHeight="1">
      <c r="A101" s="28"/>
      <c r="B101" s="36" t="s">
        <v>89</v>
      </c>
      <c r="C101" s="26">
        <f>vlookup(B101,'재고 백업'!$A:$B,2,0)</f>
        <v>95</v>
      </c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</row>
    <row r="102" ht="21.0" customHeight="1">
      <c r="A102" s="28"/>
      <c r="B102" s="36" t="s">
        <v>90</v>
      </c>
      <c r="C102" s="26">
        <f>vlookup(B102,'재고 백업'!$A:$B,2,0)</f>
        <v>16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</row>
    <row r="103" ht="21.0" customHeight="1">
      <c r="A103" s="28"/>
      <c r="B103" s="36" t="s">
        <v>91</v>
      </c>
      <c r="C103" s="26">
        <f>vlookup(B103,'재고 백업'!$A:$B,2,0)</f>
        <v>12</v>
      </c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</row>
    <row r="104" ht="21.0" customHeight="1">
      <c r="A104" s="28"/>
      <c r="B104" s="36" t="s">
        <v>92</v>
      </c>
      <c r="C104" s="26">
        <f>vlookup(B104,'재고 백업'!$A:$B,2,0)</f>
        <v>343</v>
      </c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</row>
    <row r="105" ht="21.0" customHeight="1">
      <c r="A105" s="28"/>
      <c r="B105" s="36" t="s">
        <v>93</v>
      </c>
      <c r="C105" s="26">
        <f>vlookup(B105,'재고 백업'!$A:$B,2,0)</f>
        <v>16</v>
      </c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</row>
    <row r="106" ht="21.0" customHeight="1">
      <c r="A106" s="28"/>
      <c r="B106" s="36" t="s">
        <v>94</v>
      </c>
      <c r="C106" s="26">
        <f>vlookup(B106,'재고 백업'!$A:$B,2,0)</f>
        <v>12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</row>
    <row r="107" ht="21.0" customHeight="1">
      <c r="A107" s="28"/>
      <c r="B107" s="36" t="s">
        <v>95</v>
      </c>
      <c r="C107" s="26">
        <f>vlookup(B107,'재고 백업'!$A:$B,2,0)</f>
        <v>18</v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</row>
    <row r="108" ht="21.0" customHeight="1">
      <c r="A108" s="28"/>
      <c r="B108" s="27"/>
      <c r="C108" s="27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</row>
    <row r="109" ht="21.0" customHeight="1">
      <c r="A109" s="28"/>
      <c r="B109" s="39" t="s">
        <v>96</v>
      </c>
      <c r="C109" s="39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</row>
    <row r="110" ht="21.0" customHeight="1">
      <c r="A110" s="28"/>
      <c r="B110" s="36" t="s">
        <v>97</v>
      </c>
      <c r="C110" s="21" t="str">
        <f>vlookup(B110,'재고 백업'!$A:$B,2,0)</f>
        <v>-</v>
      </c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</row>
    <row r="111" ht="21.0" customHeight="1">
      <c r="A111" s="28"/>
      <c r="B111" s="40" t="s">
        <v>98</v>
      </c>
      <c r="C111" s="21" t="str">
        <f>vlookup(B111,'재고 백업'!$A:$B,2,0)</f>
        <v>-</v>
      </c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</row>
    <row r="112" ht="21.0" customHeight="1">
      <c r="A112" s="28"/>
      <c r="B112" s="40" t="s">
        <v>99</v>
      </c>
      <c r="C112" s="21" t="str">
        <f>vlookup(B112,'재고 백업'!$A:$B,2,0)</f>
        <v>-</v>
      </c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</row>
    <row r="113" ht="21.0" customHeight="1">
      <c r="A113" s="28"/>
      <c r="B113" s="36" t="s">
        <v>100</v>
      </c>
      <c r="C113" s="21" t="str">
        <f>vlookup(B113,'재고 백업'!$A:$B,2,0)</f>
        <v>-</v>
      </c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</row>
    <row r="114" ht="21.0" customHeight="1">
      <c r="A114" s="28"/>
      <c r="B114" s="40" t="s">
        <v>101</v>
      </c>
      <c r="C114" s="21" t="str">
        <f>vlookup(B114,'재고 백업'!$A:$B,2,0)</f>
        <v>-</v>
      </c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</row>
    <row r="115" ht="21.0" customHeight="1">
      <c r="A115" s="28"/>
      <c r="B115" s="36" t="s">
        <v>102</v>
      </c>
      <c r="C115" s="26">
        <f>vlookup(B115,'재고 백업'!$A:$B,2,0)</f>
        <v>2479</v>
      </c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</row>
    <row r="116" ht="21.0" customHeight="1">
      <c r="A116" s="28"/>
      <c r="B116" s="36" t="s">
        <v>103</v>
      </c>
      <c r="C116" s="26">
        <f>vlookup(B116,'재고 백업'!$A:$B,2,0)</f>
        <v>497</v>
      </c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</row>
    <row r="117" ht="21.0" customHeight="1">
      <c r="A117" s="28"/>
      <c r="B117" s="36" t="s">
        <v>104</v>
      </c>
      <c r="C117" s="21" t="str">
        <f>vlookup(#REF!,'재고 백업'!$A:$B,2,0)</f>
        <v>#REF!</v>
      </c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</row>
    <row r="118" ht="21.0" customHeight="1">
      <c r="A118" s="28"/>
      <c r="B118" s="41" t="s">
        <v>105</v>
      </c>
      <c r="C118" s="21" t="str">
        <f>vlookup(B117,'재고 백업'!$A:$B,2,0)</f>
        <v>-</v>
      </c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</row>
    <row r="119" ht="21.0" customHeight="1">
      <c r="A119" s="28"/>
      <c r="B119" s="27"/>
      <c r="C119" s="27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</row>
    <row r="120" ht="21.0" customHeight="1">
      <c r="A120" s="28"/>
      <c r="B120" s="42" t="s">
        <v>106</v>
      </c>
      <c r="C120" s="42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</row>
    <row r="121" ht="21.0" customHeight="1">
      <c r="A121" s="28"/>
      <c r="B121" s="36" t="s">
        <v>107</v>
      </c>
      <c r="C121" s="26">
        <f>vlookup(B121,'재고 백업'!$A:$B,2,0)</f>
        <v>152</v>
      </c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</row>
    <row r="122" ht="21.0" customHeight="1">
      <c r="A122" s="28"/>
      <c r="B122" s="36" t="s">
        <v>108</v>
      </c>
      <c r="C122" s="26">
        <f>vlookup(B122,'재고 백업'!$A:$B,2,0)</f>
        <v>299</v>
      </c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</row>
    <row r="123" ht="21.0" customHeight="1">
      <c r="A123" s="28"/>
      <c r="B123" s="36" t="s">
        <v>109</v>
      </c>
      <c r="C123" s="26">
        <f>vlookup(B123,'재고 백업'!$A:$B,2,0)</f>
        <v>56</v>
      </c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</row>
    <row r="124" ht="21.0" customHeight="1">
      <c r="A124" s="28"/>
      <c r="B124" s="36" t="s">
        <v>110</v>
      </c>
      <c r="C124" s="26">
        <f>vlookup(B124,'재고 백업'!$A:$B,2,0)</f>
        <v>58</v>
      </c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</row>
    <row r="125" ht="21.0" customHeight="1">
      <c r="A125" s="28"/>
      <c r="B125" s="36" t="s">
        <v>111</v>
      </c>
      <c r="C125" s="26">
        <f>vlookup(B125,'재고 백업'!$A:$B,2,0)</f>
        <v>62</v>
      </c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</row>
    <row r="126" ht="21.0" customHeight="1">
      <c r="A126" s="28"/>
      <c r="B126" s="36" t="s">
        <v>112</v>
      </c>
      <c r="C126" s="26">
        <f>vlookup(B126,'재고 백업'!$A:$B,2,0)</f>
        <v>58</v>
      </c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</row>
    <row r="127" ht="21.0" customHeight="1">
      <c r="A127" s="28"/>
      <c r="B127" s="36" t="s">
        <v>113</v>
      </c>
      <c r="C127" s="26">
        <f>vlookup(B127,'재고 백업'!$A:$B,2,0)</f>
        <v>168</v>
      </c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</row>
    <row r="128" ht="21.0" customHeight="1">
      <c r="A128" s="43"/>
      <c r="B128" s="36" t="s">
        <v>114</v>
      </c>
      <c r="C128" s="26">
        <f>vlookup(B128,'재고 백업'!$A:$B,2,0)</f>
        <v>206</v>
      </c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</row>
    <row r="129" ht="21.0" customHeight="1">
      <c r="A129" s="43"/>
      <c r="B129" s="36" t="s">
        <v>115</v>
      </c>
      <c r="C129" s="26">
        <f>vlookup(B129,'재고 백업'!$A:$B,2,0)</f>
        <v>96</v>
      </c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</row>
    <row r="130" ht="21.0" customHeight="1">
      <c r="A130" s="43"/>
      <c r="B130" s="36" t="s">
        <v>116</v>
      </c>
      <c r="C130" s="26">
        <f>vlookup(B130,'재고 백업'!$A:$B,2,0)</f>
        <v>80</v>
      </c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</row>
    <row r="131" ht="21.0" customHeight="1">
      <c r="A131" s="43"/>
      <c r="B131" s="36" t="s">
        <v>117</v>
      </c>
      <c r="C131" s="26">
        <f>vlookup(B131,'재고 백업'!$A:$B,2,0)</f>
        <v>1025</v>
      </c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</row>
    <row r="132" ht="21.0" customHeight="1">
      <c r="A132" s="43"/>
      <c r="B132" s="36" t="s">
        <v>118</v>
      </c>
      <c r="C132" s="21" t="str">
        <f>vlookup(B132,'재고 백업'!$A:$B,2,0)</f>
        <v>#N/A</v>
      </c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</row>
    <row r="133" ht="21.0" customHeight="1">
      <c r="A133" s="43"/>
      <c r="B133" s="36" t="s">
        <v>119</v>
      </c>
      <c r="C133" s="26">
        <f>vlookup(B133,'재고 백업'!$A:$B,2,0)</f>
        <v>308</v>
      </c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</row>
    <row r="134" ht="21.0" customHeight="1">
      <c r="A134" s="43"/>
      <c r="B134" s="36" t="s">
        <v>120</v>
      </c>
      <c r="C134" s="26">
        <f>vlookup(B134,'재고 백업'!$A:$B,2,0)</f>
        <v>45</v>
      </c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</row>
    <row r="135" ht="21.0" customHeight="1">
      <c r="A135" s="43"/>
      <c r="B135" s="36" t="s">
        <v>121</v>
      </c>
      <c r="C135" s="21" t="str">
        <f>vlookup(B135,'재고 백업'!$A:$B,2,0)</f>
        <v>#N/A</v>
      </c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</row>
    <row r="136" ht="21.0" customHeight="1">
      <c r="A136" s="43"/>
      <c r="B136" s="36" t="s">
        <v>122</v>
      </c>
      <c r="C136" s="26">
        <f>vlookup(B136,'재고 백업'!$A:$B,2,0)</f>
        <v>94</v>
      </c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</row>
    <row r="137" ht="21.0" customHeight="1">
      <c r="A137" s="43"/>
      <c r="B137" s="36" t="s">
        <v>123</v>
      </c>
      <c r="C137" s="26">
        <f>vlookup(B137,'재고 백업'!$A:$B,2,0)</f>
        <v>10</v>
      </c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</row>
    <row r="138" ht="21.0" customHeight="1">
      <c r="A138" s="43"/>
      <c r="B138" s="36" t="s">
        <v>124</v>
      </c>
      <c r="C138" s="26">
        <f>vlookup(B138,'재고 백업'!$A:$B,2,0)</f>
        <v>83</v>
      </c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</row>
    <row r="139" ht="21.0" customHeight="1">
      <c r="A139" s="43"/>
      <c r="B139" s="36" t="s">
        <v>125</v>
      </c>
      <c r="C139" s="26" t="str">
        <f>vlookup(B139,'재고 백업'!$A:$B,2,0)</f>
        <v>-</v>
      </c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</row>
    <row r="140" ht="21.0" customHeight="1">
      <c r="A140" s="43"/>
      <c r="B140" s="36" t="s">
        <v>126</v>
      </c>
      <c r="C140" s="26">
        <f>vlookup(B140,'재고 백업'!$A:$B,2,0)</f>
        <v>119</v>
      </c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</row>
    <row r="141" ht="21.0" customHeight="1">
      <c r="A141" s="43"/>
      <c r="B141" s="36" t="s">
        <v>127</v>
      </c>
      <c r="C141" s="26" t="str">
        <f>vlookup(B141,'재고 백업'!$A:$B,2,0)</f>
        <v>-</v>
      </c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</row>
    <row r="142" ht="21.0" customHeight="1">
      <c r="A142" s="43"/>
      <c r="B142" s="36" t="s">
        <v>128</v>
      </c>
      <c r="C142" s="26">
        <f>vlookup(B142,'재고 백업'!$A:$B,2,0)</f>
        <v>51</v>
      </c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</row>
    <row r="143" ht="21.0" customHeight="1">
      <c r="A143" s="43"/>
      <c r="B143" s="33"/>
      <c r="C143" s="3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</row>
    <row r="144" ht="21.0" customHeight="1">
      <c r="A144" s="43"/>
      <c r="B144" s="45" t="s">
        <v>129</v>
      </c>
      <c r="C144" s="45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</row>
    <row r="145" ht="21.0" customHeight="1">
      <c r="A145" s="43"/>
      <c r="B145" s="21" t="s">
        <v>130</v>
      </c>
      <c r="C145" s="26">
        <f>vlookup(B145,'재고 백업'!$A:$B,2,0)</f>
        <v>38</v>
      </c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</row>
    <row r="146" ht="21.0" customHeight="1">
      <c r="A146" s="43"/>
      <c r="B146" s="36" t="s">
        <v>131</v>
      </c>
      <c r="C146" s="26">
        <f>vlookup(B146,'재고 백업'!$A:$B,2,0)</f>
        <v>45</v>
      </c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</row>
    <row r="147" ht="21.0" customHeight="1">
      <c r="A147" s="43"/>
      <c r="B147" s="33"/>
      <c r="C147" s="3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</row>
    <row r="148" ht="21.0" customHeight="1">
      <c r="A148" s="43"/>
      <c r="B148" s="45" t="s">
        <v>132</v>
      </c>
      <c r="C148" s="45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</row>
    <row r="149" ht="21.0" customHeight="1">
      <c r="A149" s="43"/>
      <c r="B149" s="21" t="s">
        <v>133</v>
      </c>
      <c r="C149" s="26" t="str">
        <f>vlookup(B149,'재고 백업'!$A:$B,2,0)</f>
        <v>-</v>
      </c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</row>
    <row r="150" ht="21.0" customHeight="1">
      <c r="A150" s="43"/>
      <c r="B150" s="33"/>
      <c r="C150" s="3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</row>
    <row r="151" ht="21.0" customHeight="1">
      <c r="A151" s="43"/>
      <c r="B151" s="46" t="s">
        <v>134</v>
      </c>
      <c r="C151" s="46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</row>
    <row r="152" ht="21.0" customHeight="1">
      <c r="A152" s="43"/>
      <c r="B152" s="36" t="s">
        <v>135</v>
      </c>
      <c r="C152" s="26">
        <f>vlookup(B152,'재고 백업'!$A:$B,2,0)</f>
        <v>8</v>
      </c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</row>
    <row r="153" ht="21.0" customHeight="1">
      <c r="A153" s="43"/>
      <c r="B153" s="36" t="s">
        <v>136</v>
      </c>
      <c r="C153" s="26">
        <f>vlookup(B153,'재고 백업'!$A:$B,2,0)</f>
        <v>6</v>
      </c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</row>
    <row r="154" ht="21.0" customHeight="1">
      <c r="A154" s="43"/>
      <c r="B154" s="36" t="s">
        <v>137</v>
      </c>
      <c r="C154" s="26">
        <f>vlookup(B154,'재고 백업'!$A:$B,2,0)</f>
        <v>6</v>
      </c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</row>
    <row r="155" ht="21.0" customHeight="1">
      <c r="A155" s="43"/>
      <c r="B155" s="36" t="s">
        <v>138</v>
      </c>
      <c r="C155" s="26" t="str">
        <f>vlookup(B155,'재고 백업'!$A:$B,2,0)</f>
        <v>-</v>
      </c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</row>
    <row r="156" ht="21.0" customHeight="1">
      <c r="A156" s="43"/>
      <c r="B156" s="36" t="s">
        <v>139</v>
      </c>
      <c r="C156" s="26">
        <f>vlookup(B156,'재고 백업'!$A:$B,2,0)</f>
        <v>153</v>
      </c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</row>
    <row r="157" ht="21.0" customHeight="1">
      <c r="A157" s="43"/>
      <c r="B157" s="36" t="s">
        <v>140</v>
      </c>
      <c r="C157" s="21" t="str">
        <f>vlookup(B157,'재고 백업'!$A:$B,2,0)</f>
        <v>-</v>
      </c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</row>
    <row r="158" ht="21.0" customHeight="1">
      <c r="A158" s="43"/>
      <c r="B158" s="33"/>
      <c r="C158" s="3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</row>
    <row r="159" ht="21.0" customHeight="1">
      <c r="A159" s="43"/>
      <c r="B159" s="42" t="s">
        <v>141</v>
      </c>
      <c r="C159" s="42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</row>
    <row r="160" ht="21.0" customHeight="1">
      <c r="A160" s="43"/>
      <c r="B160" s="36" t="s">
        <v>142</v>
      </c>
      <c r="C160" s="26">
        <f>vlookup(B160,'재고 백업'!$A:$B,2,0)</f>
        <v>105</v>
      </c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</row>
    <row r="161" ht="21.0" customHeight="1">
      <c r="A161" s="43"/>
      <c r="B161" s="36" t="s">
        <v>143</v>
      </c>
      <c r="C161" s="26">
        <f>vlookup(B161,'재고 백업'!$A:$B,2,0)</f>
        <v>121</v>
      </c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</row>
    <row r="162" ht="21.0" customHeight="1">
      <c r="A162" s="43"/>
      <c r="B162" s="36" t="s">
        <v>144</v>
      </c>
      <c r="C162" s="26">
        <f>vlookup(B162,'재고 백업'!$A:$B,2,0)</f>
        <v>152</v>
      </c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</row>
    <row r="163" ht="21.0" customHeight="1">
      <c r="A163" s="43"/>
      <c r="B163" s="36" t="s">
        <v>145</v>
      </c>
      <c r="C163" s="26">
        <f>vlookup(B163,'재고 백업'!$A:$B,2,0)</f>
        <v>122</v>
      </c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</row>
    <row r="164" ht="21.0" customHeight="1">
      <c r="A164" s="43"/>
      <c r="B164" s="36" t="s">
        <v>146</v>
      </c>
      <c r="C164" s="26">
        <f>vlookup(B164,'재고 백업'!$A:$B,2,0)</f>
        <v>155</v>
      </c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47"/>
      <c r="AW164" s="47"/>
      <c r="AX164" s="47"/>
      <c r="AY164" s="47"/>
      <c r="AZ164" s="47"/>
      <c r="BA164" s="47"/>
      <c r="BB164" s="47"/>
      <c r="BC164" s="47"/>
      <c r="BD164" s="47"/>
      <c r="BE164" s="47"/>
      <c r="BF164" s="47"/>
      <c r="BG164" s="47"/>
      <c r="BH164" s="47"/>
      <c r="BI164" s="47"/>
      <c r="BJ164" s="47"/>
      <c r="BK164" s="47"/>
      <c r="BL164" s="47"/>
      <c r="BM164" s="47"/>
      <c r="BN164" s="47"/>
      <c r="BO164" s="47"/>
      <c r="BP164" s="47"/>
      <c r="BQ164" s="47"/>
      <c r="BR164" s="47"/>
      <c r="BS164" s="47"/>
      <c r="BT164" s="47"/>
      <c r="BU164" s="47"/>
      <c r="BV164" s="47"/>
      <c r="BW164" s="47"/>
    </row>
    <row r="165" ht="21.0" customHeight="1">
      <c r="A165" s="43"/>
      <c r="B165" s="36" t="s">
        <v>147</v>
      </c>
      <c r="C165" s="26">
        <f>vlookup(B165,'재고 백업'!$A:$B,2,0)</f>
        <v>54</v>
      </c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</row>
    <row r="166" ht="21.0" customHeight="1">
      <c r="A166" s="43"/>
      <c r="B166" s="36" t="s">
        <v>148</v>
      </c>
      <c r="C166" s="26">
        <f>vlookup(B166,'재고 백업'!$A:$B,2,0)</f>
        <v>131</v>
      </c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</row>
    <row r="167" ht="21.0" customHeight="1">
      <c r="A167" s="43"/>
      <c r="B167" s="36" t="s">
        <v>149</v>
      </c>
      <c r="C167" s="26">
        <f>vlookup(B167,'재고 백업'!$A:$B,2,0)</f>
        <v>57</v>
      </c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</row>
    <row r="168" ht="21.0" customHeight="1">
      <c r="A168" s="43"/>
      <c r="B168" s="36" t="s">
        <v>150</v>
      </c>
      <c r="C168" s="26">
        <f>vlookup(B168,'재고 백업'!$A:$B,2,0)</f>
        <v>382</v>
      </c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</row>
    <row r="169" ht="21.0" customHeight="1">
      <c r="A169" s="43"/>
      <c r="B169" s="36" t="s">
        <v>151</v>
      </c>
      <c r="C169" s="26">
        <f>vlookup(B169,'재고 백업'!$A:$B,2,0)</f>
        <v>72</v>
      </c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</row>
    <row r="170" ht="21.0" customHeight="1">
      <c r="A170" s="43"/>
      <c r="B170" s="36" t="s">
        <v>152</v>
      </c>
      <c r="C170" s="26">
        <f>vlookup(B170,'재고 백업'!$A:$B,2,0)</f>
        <v>34</v>
      </c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</row>
    <row r="171" ht="21.0" customHeight="1">
      <c r="A171" s="43"/>
      <c r="B171" s="36" t="s">
        <v>153</v>
      </c>
      <c r="C171" s="26" t="str">
        <f>vlookup(B171,'재고 백업'!$A:$B,2,0)</f>
        <v>-</v>
      </c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</row>
    <row r="172" ht="21.0" customHeight="1">
      <c r="A172" s="43"/>
      <c r="B172" s="36" t="s">
        <v>154</v>
      </c>
      <c r="C172" s="26" t="str">
        <f>vlookup(B172,'재고 백업'!$A:$B,2,0)</f>
        <v>-</v>
      </c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</row>
    <row r="173" ht="21.0" customHeight="1">
      <c r="A173" s="43"/>
      <c r="B173" s="36" t="s">
        <v>155</v>
      </c>
      <c r="C173" s="26">
        <f>vlookup(B173,'재고 백업'!$A:$B,2,0)</f>
        <v>180</v>
      </c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</row>
    <row r="174" ht="21.0" customHeight="1">
      <c r="A174" s="43"/>
      <c r="B174" s="36" t="s">
        <v>156</v>
      </c>
      <c r="C174" s="26">
        <f>vlookup(B174,'재고 백업'!$A:$B,2,0)</f>
        <v>24</v>
      </c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  <c r="BU174" s="44"/>
      <c r="BV174" s="44"/>
      <c r="BW174" s="44"/>
    </row>
    <row r="175" ht="21.0" customHeight="1">
      <c r="A175" s="43"/>
      <c r="B175" s="36" t="s">
        <v>157</v>
      </c>
      <c r="C175" s="26">
        <f>vlookup(B175,'재고 백업'!$A:$B,2,0)</f>
        <v>75</v>
      </c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</row>
    <row r="176" ht="21.0" customHeight="1">
      <c r="A176" s="43"/>
      <c r="B176" s="36" t="s">
        <v>158</v>
      </c>
      <c r="C176" s="26">
        <f>vlookup(B176,'재고 백업'!$A:$B,2,0)</f>
        <v>143</v>
      </c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</row>
    <row r="177" ht="21.0" customHeight="1">
      <c r="A177" s="43"/>
      <c r="B177" s="36" t="s">
        <v>159</v>
      </c>
      <c r="C177" s="26">
        <f>vlookup(B177,'재고 백업'!$A:$B,2,0)</f>
        <v>141</v>
      </c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44"/>
      <c r="BP177" s="44"/>
      <c r="BQ177" s="44"/>
      <c r="BR177" s="44"/>
      <c r="BS177" s="44"/>
      <c r="BT177" s="44"/>
      <c r="BU177" s="44"/>
      <c r="BV177" s="44"/>
      <c r="BW177" s="44"/>
    </row>
    <row r="178" ht="21.0" customHeight="1">
      <c r="A178" s="43"/>
      <c r="B178" s="36" t="s">
        <v>160</v>
      </c>
      <c r="C178" s="26">
        <f>vlookup(B178,'재고 백업'!$A:$B,2,0)</f>
        <v>221</v>
      </c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44"/>
      <c r="BP178" s="44"/>
      <c r="BQ178" s="44"/>
      <c r="BR178" s="44"/>
      <c r="BS178" s="44"/>
      <c r="BT178" s="44"/>
      <c r="BU178" s="44"/>
      <c r="BV178" s="44"/>
      <c r="BW178" s="44"/>
    </row>
    <row r="179" ht="21.0" customHeight="1">
      <c r="A179" s="43"/>
      <c r="B179" s="36" t="s">
        <v>161</v>
      </c>
      <c r="C179" s="26">
        <f>vlookup(B179,'재고 백업'!$A:$B,2,0)</f>
        <v>21</v>
      </c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44"/>
      <c r="BP179" s="44"/>
      <c r="BQ179" s="44"/>
      <c r="BR179" s="44"/>
      <c r="BS179" s="44"/>
      <c r="BT179" s="44"/>
      <c r="BU179" s="44"/>
      <c r="BV179" s="44"/>
      <c r="BW179" s="44"/>
    </row>
    <row r="180" ht="21.0" customHeight="1">
      <c r="A180" s="43"/>
      <c r="B180" s="36" t="s">
        <v>162</v>
      </c>
      <c r="C180" s="26">
        <f>vlookup(B180,'재고 백업'!$A:$B,2,0)</f>
        <v>108</v>
      </c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44"/>
      <c r="BP180" s="44"/>
      <c r="BQ180" s="44"/>
      <c r="BR180" s="44"/>
      <c r="BS180" s="44"/>
      <c r="BT180" s="44"/>
      <c r="BU180" s="44"/>
      <c r="BV180" s="44"/>
      <c r="BW180" s="44"/>
    </row>
    <row r="181" ht="21.0" customHeight="1">
      <c r="A181" s="43"/>
      <c r="B181" s="36" t="s">
        <v>163</v>
      </c>
      <c r="C181" s="26">
        <f>vlookup(B181,'재고 백업'!$A:$B,2,0)</f>
        <v>32</v>
      </c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44"/>
      <c r="BP181" s="44"/>
      <c r="BQ181" s="44"/>
      <c r="BR181" s="44"/>
      <c r="BS181" s="44"/>
      <c r="BT181" s="44"/>
      <c r="BU181" s="44"/>
      <c r="BV181" s="44"/>
      <c r="BW181" s="44"/>
    </row>
    <row r="182" ht="21.0" customHeight="1">
      <c r="A182" s="43"/>
      <c r="B182" s="33"/>
      <c r="C182" s="3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44"/>
      <c r="BP182" s="44"/>
      <c r="BQ182" s="44"/>
      <c r="BR182" s="44"/>
      <c r="BS182" s="44"/>
      <c r="BT182" s="44"/>
      <c r="BU182" s="44"/>
      <c r="BV182" s="44"/>
      <c r="BW182" s="44"/>
    </row>
    <row r="183" ht="21.0" customHeight="1">
      <c r="A183" s="43"/>
      <c r="B183" s="48" t="s">
        <v>164</v>
      </c>
      <c r="C183" s="48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44"/>
      <c r="BP183" s="44"/>
      <c r="BQ183" s="44"/>
      <c r="BR183" s="44"/>
      <c r="BS183" s="44"/>
      <c r="BT183" s="44"/>
      <c r="BU183" s="44"/>
      <c r="BV183" s="44"/>
      <c r="BW183" s="44"/>
    </row>
    <row r="184" ht="21.0" customHeight="1">
      <c r="A184" s="43"/>
      <c r="B184" s="36" t="s">
        <v>165</v>
      </c>
      <c r="C184" s="26" t="str">
        <f>vlookup(B184,'재고 백업'!$A:$B,2,0)</f>
        <v>-</v>
      </c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44"/>
      <c r="BP184" s="44"/>
      <c r="BQ184" s="44"/>
      <c r="BR184" s="44"/>
      <c r="BS184" s="44"/>
      <c r="BT184" s="44"/>
      <c r="BU184" s="44"/>
      <c r="BV184" s="44"/>
      <c r="BW184" s="44"/>
    </row>
    <row r="185" ht="21.0" customHeight="1">
      <c r="A185" s="43"/>
      <c r="B185" s="33"/>
      <c r="C185" s="3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44"/>
      <c r="BP185" s="44"/>
      <c r="BQ185" s="44"/>
      <c r="BR185" s="44"/>
      <c r="BS185" s="44"/>
      <c r="BT185" s="44"/>
      <c r="BU185" s="44"/>
      <c r="BV185" s="44"/>
      <c r="BW185" s="44"/>
    </row>
    <row r="186" ht="21.0" customHeight="1">
      <c r="A186" s="43"/>
      <c r="B186" s="48" t="s">
        <v>166</v>
      </c>
      <c r="C186" s="48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44"/>
      <c r="BP186" s="44"/>
      <c r="BQ186" s="44"/>
      <c r="BR186" s="44"/>
      <c r="BS186" s="44"/>
      <c r="BT186" s="44"/>
      <c r="BU186" s="44"/>
      <c r="BV186" s="44"/>
      <c r="BW186" s="44"/>
    </row>
    <row r="187" ht="21.0" customHeight="1">
      <c r="A187" s="43"/>
      <c r="B187" s="36" t="s">
        <v>167</v>
      </c>
      <c r="C187" s="21" t="str">
        <f>vlookup(B187,'재고 백업'!$A:$B,2,0)</f>
        <v>-</v>
      </c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44"/>
      <c r="BP187" s="44"/>
      <c r="BQ187" s="44"/>
      <c r="BR187" s="44"/>
      <c r="BS187" s="44"/>
      <c r="BT187" s="44"/>
      <c r="BU187" s="44"/>
      <c r="BV187" s="44"/>
      <c r="BW187" s="44"/>
    </row>
    <row r="188" ht="21.0" customHeight="1">
      <c r="A188" s="43"/>
      <c r="B188" s="36" t="s">
        <v>168</v>
      </c>
      <c r="C188" s="21" t="str">
        <f>vlookup(B188,'재고 백업'!$A:$B,2,0)</f>
        <v>-</v>
      </c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44"/>
      <c r="BP188" s="44"/>
      <c r="BQ188" s="44"/>
      <c r="BR188" s="44"/>
      <c r="BS188" s="44"/>
      <c r="BT188" s="44"/>
      <c r="BU188" s="44"/>
      <c r="BV188" s="44"/>
      <c r="BW188" s="44"/>
    </row>
    <row r="189" ht="21.0" customHeight="1">
      <c r="A189" s="43"/>
      <c r="B189" s="36" t="s">
        <v>169</v>
      </c>
      <c r="C189" s="26" t="str">
        <f>vlookup(B189,'재고 백업'!$A:$B,2,0)</f>
        <v>-</v>
      </c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  <c r="BU189" s="44"/>
      <c r="BV189" s="44"/>
      <c r="BW189" s="44"/>
    </row>
    <row r="190" ht="21.0" customHeight="1">
      <c r="A190" s="43"/>
      <c r="B190" s="33"/>
      <c r="C190" s="3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  <c r="BU190" s="44"/>
      <c r="BV190" s="44"/>
      <c r="BW190" s="44"/>
    </row>
    <row r="191" ht="21.0" customHeight="1">
      <c r="A191" s="43"/>
      <c r="B191" s="48" t="s">
        <v>170</v>
      </c>
      <c r="C191" s="48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  <c r="BU191" s="44"/>
      <c r="BV191" s="44"/>
      <c r="BW191" s="44"/>
    </row>
    <row r="192" ht="21.0" customHeight="1">
      <c r="A192" s="43"/>
      <c r="B192" s="36" t="s">
        <v>171</v>
      </c>
      <c r="C192" s="26">
        <f>vlookup(B192,'재고 백업'!$A:$B,2,0)</f>
        <v>68</v>
      </c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  <c r="BU192" s="44"/>
      <c r="BV192" s="44"/>
      <c r="BW192" s="44"/>
    </row>
    <row r="193" ht="21.0" customHeight="1">
      <c r="A193" s="43"/>
      <c r="B193" s="36" t="s">
        <v>172</v>
      </c>
      <c r="C193" s="26">
        <f>vlookup(B193,'재고 백업'!$A:$B,2,0)</f>
        <v>32</v>
      </c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  <c r="BU193" s="44"/>
      <c r="BV193" s="44"/>
      <c r="BW193" s="44"/>
    </row>
    <row r="194" ht="21.0" customHeight="1">
      <c r="A194" s="43"/>
      <c r="B194" s="36" t="s">
        <v>173</v>
      </c>
      <c r="C194" s="26">
        <f>vlookup(B194,'재고 백업'!$A:$B,2,0)</f>
        <v>18</v>
      </c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  <c r="BU194" s="44"/>
      <c r="BV194" s="44"/>
      <c r="BW194" s="44"/>
    </row>
    <row r="195" ht="21.0" customHeight="1">
      <c r="A195" s="43"/>
      <c r="B195" s="36" t="s">
        <v>174</v>
      </c>
      <c r="C195" s="26">
        <f>vlookup(B195,'재고 백업'!$A:$B,2,0)</f>
        <v>104</v>
      </c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  <c r="BU195" s="44"/>
      <c r="BV195" s="44"/>
      <c r="BW195" s="44"/>
    </row>
    <row r="196" ht="21.0" customHeight="1">
      <c r="A196" s="43"/>
      <c r="B196" s="36" t="s">
        <v>175</v>
      </c>
      <c r="C196" s="26" t="str">
        <f>vlookup(B196,'재고 백업'!$A:$B,2,0)</f>
        <v>-</v>
      </c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  <c r="BU196" s="44"/>
      <c r="BV196" s="44"/>
      <c r="BW196" s="44"/>
    </row>
    <row r="197" ht="21.0" customHeight="1">
      <c r="A197" s="43"/>
      <c r="B197" s="36" t="s">
        <v>176</v>
      </c>
      <c r="C197" s="26">
        <f>vlookup(B197,'재고 백업'!$A:$B,2,0)</f>
        <v>12</v>
      </c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  <c r="BU197" s="44"/>
      <c r="BV197" s="44"/>
      <c r="BW197" s="44"/>
    </row>
    <row r="198" ht="21.0" customHeight="1">
      <c r="A198" s="43"/>
      <c r="B198" s="36" t="s">
        <v>177</v>
      </c>
      <c r="C198" s="26">
        <f>vlookup(B198,'재고 백업'!$A:$B,2,0)</f>
        <v>133</v>
      </c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  <c r="BU198" s="44"/>
      <c r="BV198" s="44"/>
      <c r="BW198" s="44"/>
    </row>
    <row r="199" ht="21.0" customHeight="1">
      <c r="A199" s="43"/>
      <c r="B199" s="36" t="s">
        <v>178</v>
      </c>
      <c r="C199" s="26" t="str">
        <f>vlookup(B199,'재고 백업'!$A:$B,2,0)</f>
        <v>-</v>
      </c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  <c r="BU199" s="44"/>
      <c r="BV199" s="44"/>
      <c r="BW199" s="44"/>
    </row>
    <row r="200" ht="21.0" customHeight="1">
      <c r="A200" s="43"/>
      <c r="B200" s="36" t="s">
        <v>179</v>
      </c>
      <c r="C200" s="26">
        <f>vlookup(B200,'재고 백업'!$A:$B,2,0)</f>
        <v>11</v>
      </c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  <c r="BU200" s="44"/>
      <c r="BV200" s="44"/>
      <c r="BW200" s="44"/>
    </row>
    <row r="201" ht="21.0" customHeight="1">
      <c r="A201" s="43"/>
      <c r="B201" s="36" t="s">
        <v>180</v>
      </c>
      <c r="C201" s="26">
        <f>vlookup(B201,'재고 백업'!$A:$B,2,0)</f>
        <v>57</v>
      </c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  <c r="BU201" s="44"/>
      <c r="BV201" s="44"/>
      <c r="BW201" s="44"/>
    </row>
    <row r="202" ht="21.0" customHeight="1">
      <c r="A202" s="43"/>
      <c r="B202" s="36" t="s">
        <v>181</v>
      </c>
      <c r="C202" s="26">
        <f>vlookup(B202,'재고 백업'!$A:$B,2,0)</f>
        <v>264</v>
      </c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  <c r="BU202" s="44"/>
      <c r="BV202" s="44"/>
      <c r="BW202" s="44"/>
    </row>
    <row r="203" ht="21.0" customHeight="1">
      <c r="A203" s="43"/>
      <c r="B203" s="36" t="s">
        <v>182</v>
      </c>
      <c r="C203" s="26">
        <f>vlookup(B203,'재고 백업'!$A:$B,2,0)</f>
        <v>1</v>
      </c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  <c r="BU203" s="44"/>
      <c r="BV203" s="44"/>
      <c r="BW203" s="44"/>
    </row>
    <row r="204" ht="21.0" customHeight="1">
      <c r="A204" s="43"/>
      <c r="B204" s="36" t="s">
        <v>183</v>
      </c>
      <c r="C204" s="26" t="str">
        <f>vlookup(B204,'재고 백업'!$A:$B,2,0)</f>
        <v>-</v>
      </c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  <c r="BU204" s="44"/>
      <c r="BV204" s="44"/>
      <c r="BW204" s="44"/>
    </row>
    <row r="205" ht="21.0" customHeight="1">
      <c r="A205" s="43"/>
      <c r="B205" s="36" t="s">
        <v>184</v>
      </c>
      <c r="C205" s="26">
        <f>vlookup(B205,'재고 백업'!$A:$B,2,0)</f>
        <v>15</v>
      </c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  <c r="BU205" s="44"/>
      <c r="BV205" s="44"/>
      <c r="BW205" s="44"/>
    </row>
    <row r="206" ht="21.0" customHeight="1">
      <c r="A206" s="43"/>
      <c r="B206" s="36" t="s">
        <v>185</v>
      </c>
      <c r="C206" s="26">
        <f>vlookup(B206,'재고 백업'!$A:$B,2,0)</f>
        <v>7</v>
      </c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  <c r="BU206" s="44"/>
      <c r="BV206" s="44"/>
      <c r="BW206" s="44"/>
    </row>
    <row r="207" ht="21.0" customHeight="1">
      <c r="A207" s="43"/>
      <c r="B207" s="36" t="s">
        <v>186</v>
      </c>
      <c r="C207" s="26">
        <f>vlookup(B207,'재고 백업'!$A:$B,2,0)</f>
        <v>33</v>
      </c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44"/>
      <c r="BP207" s="44"/>
      <c r="BQ207" s="44"/>
      <c r="BR207" s="44"/>
      <c r="BS207" s="44"/>
      <c r="BT207" s="44"/>
      <c r="BU207" s="44"/>
      <c r="BV207" s="44"/>
      <c r="BW207" s="44"/>
    </row>
    <row r="208" ht="21.0" customHeight="1">
      <c r="A208" s="43"/>
      <c r="B208" s="36" t="s">
        <v>187</v>
      </c>
      <c r="C208" s="26">
        <f>vlookup(B208,'재고 백업'!$A:$B,2,0)</f>
        <v>24</v>
      </c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44"/>
      <c r="BP208" s="44"/>
      <c r="BQ208" s="44"/>
      <c r="BR208" s="44"/>
      <c r="BS208" s="44"/>
      <c r="BT208" s="44"/>
      <c r="BU208" s="44"/>
      <c r="BV208" s="44"/>
      <c r="BW208" s="44"/>
    </row>
    <row r="209" ht="21.0" customHeight="1">
      <c r="A209" s="43"/>
      <c r="B209" s="36" t="s">
        <v>188</v>
      </c>
      <c r="C209" s="26" t="str">
        <f>vlookup(B209,'재고 백업'!$A:$B,2,0)</f>
        <v>-</v>
      </c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  <c r="BU209" s="44"/>
      <c r="BV209" s="44"/>
      <c r="BW209" s="44"/>
    </row>
    <row r="210" ht="21.0" customHeight="1">
      <c r="A210" s="43"/>
      <c r="B210" s="36" t="s">
        <v>189</v>
      </c>
      <c r="C210" s="26">
        <f>vlookup(B210,'재고 백업'!$A:$B,2,0)</f>
        <v>2</v>
      </c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  <c r="BU210" s="44"/>
      <c r="BV210" s="44"/>
      <c r="BW210" s="44"/>
    </row>
    <row r="211" ht="21.0" customHeight="1">
      <c r="A211" s="43"/>
      <c r="B211" s="36" t="s">
        <v>190</v>
      </c>
      <c r="C211" s="21" t="str">
        <f>vlookup(B211,'재고 백업'!$A:$B,2,0)</f>
        <v>-</v>
      </c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  <c r="BU211" s="44"/>
      <c r="BV211" s="44"/>
      <c r="BW211" s="44"/>
    </row>
    <row r="212" ht="21.0" customHeight="1">
      <c r="A212" s="43"/>
      <c r="B212" s="36" t="s">
        <v>191</v>
      </c>
      <c r="C212" s="26">
        <f>vlookup(B212,'재고 백업'!$A:$B,2,0)</f>
        <v>18</v>
      </c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  <c r="BU212" s="44"/>
      <c r="BV212" s="44"/>
      <c r="BW212" s="44"/>
    </row>
    <row r="213" ht="21.0" customHeight="1">
      <c r="A213" s="43"/>
      <c r="B213" s="36" t="s">
        <v>192</v>
      </c>
      <c r="C213" s="21" t="str">
        <f>vlookup(B213,'재고 백업'!$A:$B,2,0)</f>
        <v>-</v>
      </c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  <c r="BU213" s="44"/>
      <c r="BV213" s="44"/>
      <c r="BW213" s="44"/>
    </row>
    <row r="214" ht="21.0" customHeight="1">
      <c r="A214" s="43"/>
      <c r="B214" s="36" t="s">
        <v>193</v>
      </c>
      <c r="C214" s="21" t="str">
        <f>vlookup(B214,'재고 백업'!$A:$B,2,0)</f>
        <v>-</v>
      </c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  <c r="BU214" s="44"/>
      <c r="BV214" s="44"/>
      <c r="BW214" s="44"/>
    </row>
    <row r="215" ht="21.0" customHeight="1">
      <c r="A215" s="43"/>
      <c r="B215" s="36" t="s">
        <v>194</v>
      </c>
      <c r="C215" s="26" t="str">
        <f>vlookup(B215,'재고 백업'!$A:$B,2,0)</f>
        <v>-</v>
      </c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  <c r="BU215" s="44"/>
      <c r="BV215" s="44"/>
      <c r="BW215" s="44"/>
    </row>
    <row r="216" ht="21.0" customHeight="1">
      <c r="A216" s="43"/>
      <c r="B216" s="36" t="s">
        <v>195</v>
      </c>
      <c r="C216" s="26">
        <f>vlookup(B216,'재고 백업'!$A:$B,2,0)</f>
        <v>7</v>
      </c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  <c r="BU216" s="44"/>
      <c r="BV216" s="44"/>
      <c r="BW216" s="44"/>
    </row>
    <row r="217" ht="21.0" customHeight="1">
      <c r="A217" s="43"/>
      <c r="B217" s="36" t="s">
        <v>196</v>
      </c>
      <c r="C217" s="26">
        <f>vlookup(B217,'재고 백업'!$A:$B,2,0)</f>
        <v>2</v>
      </c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  <c r="BU217" s="44"/>
      <c r="BV217" s="44"/>
      <c r="BW217" s="44"/>
    </row>
    <row r="218" ht="21.0" customHeight="1">
      <c r="A218" s="43"/>
      <c r="B218" s="36" t="s">
        <v>197</v>
      </c>
      <c r="C218" s="26">
        <f>vlookup(B218,'재고 백업'!$A:$B,2,0)</f>
        <v>25</v>
      </c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  <c r="BU218" s="44"/>
      <c r="BV218" s="44"/>
      <c r="BW218" s="44"/>
    </row>
    <row r="219" ht="21.0" customHeight="1">
      <c r="A219" s="43"/>
      <c r="B219" s="36" t="s">
        <v>198</v>
      </c>
      <c r="C219" s="26">
        <f>vlookup(B219,'재고 백업'!$A:$B,2,0)</f>
        <v>56</v>
      </c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  <c r="BU219" s="44"/>
      <c r="BV219" s="44"/>
      <c r="BW219" s="44"/>
    </row>
    <row r="220" ht="21.0" customHeight="1">
      <c r="A220" s="43"/>
      <c r="B220" s="36" t="s">
        <v>199</v>
      </c>
      <c r="C220" s="26" t="str">
        <f>vlookup(B220,'재고 백업'!$A:$B,2,0)</f>
        <v>-</v>
      </c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  <c r="BU220" s="44"/>
      <c r="BV220" s="44"/>
      <c r="BW220" s="44"/>
    </row>
    <row r="221" ht="21.0" customHeight="1">
      <c r="A221" s="43"/>
      <c r="B221" s="36" t="s">
        <v>200</v>
      </c>
      <c r="C221" s="26" t="str">
        <f>vlookup(B221,'재고 백업'!$A:$B,2,0)</f>
        <v>-</v>
      </c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  <c r="BU221" s="44"/>
      <c r="BV221" s="44"/>
      <c r="BW221" s="44"/>
    </row>
    <row r="222" ht="21.0" customHeight="1">
      <c r="A222" s="43"/>
      <c r="B222" s="33"/>
      <c r="C222" s="3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44"/>
      <c r="BP222" s="44"/>
      <c r="BQ222" s="44"/>
      <c r="BR222" s="44"/>
      <c r="BS222" s="44"/>
      <c r="BT222" s="44"/>
      <c r="BU222" s="44"/>
      <c r="BV222" s="44"/>
      <c r="BW222" s="44"/>
    </row>
    <row r="223" ht="21.0" customHeight="1">
      <c r="A223" s="43"/>
      <c r="B223" s="18" t="s">
        <v>201</v>
      </c>
      <c r="C223" s="18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44"/>
      <c r="BP223" s="44"/>
      <c r="BQ223" s="44"/>
      <c r="BR223" s="44"/>
      <c r="BS223" s="44"/>
      <c r="BT223" s="44"/>
      <c r="BU223" s="44"/>
      <c r="BV223" s="44"/>
      <c r="BW223" s="44"/>
    </row>
    <row r="224" ht="21.0" customHeight="1">
      <c r="A224" s="43"/>
      <c r="B224" s="36" t="s">
        <v>202</v>
      </c>
      <c r="C224" s="26" t="str">
        <f>vlookup(B224,'재고 백업'!$A:$B,2,0)</f>
        <v>-</v>
      </c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  <c r="BU224" s="44"/>
      <c r="BV224" s="44"/>
      <c r="BW224" s="44"/>
    </row>
    <row r="225" ht="21.0" customHeight="1">
      <c r="A225" s="43"/>
      <c r="B225" s="36" t="s">
        <v>203</v>
      </c>
      <c r="C225" s="26" t="str">
        <f>vlookup(B225,'재고 백업'!$A:$B,2,0)</f>
        <v>-</v>
      </c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</row>
    <row r="226" ht="21.0" customHeight="1">
      <c r="A226" s="43"/>
      <c r="B226" s="36" t="s">
        <v>204</v>
      </c>
      <c r="C226" s="26">
        <f>vlookup(B226,'재고 백업'!$A:$B,2,0)</f>
        <v>106</v>
      </c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</row>
    <row r="227" ht="21.0" customHeight="1">
      <c r="A227" s="43"/>
      <c r="B227" s="36" t="s">
        <v>205</v>
      </c>
      <c r="C227" s="26">
        <f>vlookup(B227,'재고 백업'!$A:$B,2,0)</f>
        <v>146</v>
      </c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</row>
    <row r="228" ht="21.0" customHeight="1">
      <c r="A228" s="43"/>
      <c r="B228" s="36" t="s">
        <v>206</v>
      </c>
      <c r="C228" s="26">
        <f>vlookup(B228,'재고 백업'!$A:$B,2,0)</f>
        <v>22</v>
      </c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</row>
    <row r="229" ht="21.0" customHeight="1">
      <c r="A229" s="43"/>
      <c r="B229" s="36" t="s">
        <v>207</v>
      </c>
      <c r="C229" s="26" t="str">
        <f>vlookup(B229,'재고 백업'!$A:$B,2,0)</f>
        <v>-</v>
      </c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</row>
    <row r="230" ht="21.0" customHeight="1">
      <c r="A230" s="43"/>
      <c r="B230" s="36" t="s">
        <v>208</v>
      </c>
      <c r="C230" s="26" t="str">
        <f>vlookup(B230,'재고 백업'!$A:$B,2,0)</f>
        <v>-</v>
      </c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  <c r="BU230" s="44"/>
      <c r="BV230" s="44"/>
      <c r="BW230" s="44"/>
    </row>
    <row r="231" ht="21.0" customHeight="1">
      <c r="A231" s="43"/>
      <c r="B231" s="36" t="s">
        <v>209</v>
      </c>
      <c r="C231" s="26">
        <f>vlookup(B231,'재고 백업'!$A:$B,2,0)</f>
        <v>49</v>
      </c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  <c r="BU231" s="44"/>
      <c r="BV231" s="44"/>
      <c r="BW231" s="44"/>
    </row>
    <row r="232" ht="21.0" customHeight="1">
      <c r="A232" s="43"/>
      <c r="B232" s="36" t="s">
        <v>210</v>
      </c>
      <c r="C232" s="26">
        <f>vlookup(B232,'재고 백업'!$A:$B,2,0)</f>
        <v>22</v>
      </c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  <c r="BU232" s="44"/>
      <c r="BV232" s="44"/>
      <c r="BW232" s="44"/>
    </row>
    <row r="233" ht="21.0" customHeight="1">
      <c r="A233" s="43"/>
      <c r="B233" s="36" t="s">
        <v>211</v>
      </c>
      <c r="C233" s="26">
        <f>vlookup(B233,'재고 백업'!$A:$B,2,0)</f>
        <v>51</v>
      </c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  <c r="BU233" s="44"/>
      <c r="BV233" s="44"/>
      <c r="BW233" s="44"/>
    </row>
    <row r="234" ht="21.0" customHeight="1">
      <c r="A234" s="43"/>
      <c r="B234" s="36" t="s">
        <v>212</v>
      </c>
      <c r="C234" s="26">
        <f>vlookup(B234,'재고 백업'!$A:$B,2,0)</f>
        <v>58</v>
      </c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  <c r="BU234" s="44"/>
      <c r="BV234" s="44"/>
      <c r="BW234" s="44"/>
    </row>
    <row r="235" ht="21.0" customHeight="1">
      <c r="A235" s="43"/>
      <c r="B235" s="36" t="s">
        <v>213</v>
      </c>
      <c r="C235" s="26">
        <f>vlookup(B235,'재고 백업'!$A:$B,2,0)</f>
        <v>18</v>
      </c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  <c r="BU235" s="44"/>
      <c r="BV235" s="44"/>
      <c r="BW235" s="44"/>
    </row>
    <row r="236" ht="21.0" customHeight="1">
      <c r="A236" s="43"/>
      <c r="B236" s="36" t="s">
        <v>214</v>
      </c>
      <c r="C236" s="26">
        <f>vlookup(B236,'재고 백업'!$A:$B,2,0)</f>
        <v>13</v>
      </c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  <c r="BU236" s="44"/>
      <c r="BV236" s="44"/>
      <c r="BW236" s="44"/>
    </row>
    <row r="237" ht="21.0" customHeight="1">
      <c r="A237" s="43"/>
      <c r="B237" s="36" t="s">
        <v>215</v>
      </c>
      <c r="C237" s="26">
        <f>vlookup(B237,'재고 백업'!$A:$B,2,0)</f>
        <v>47</v>
      </c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  <c r="BU237" s="44"/>
      <c r="BV237" s="44"/>
      <c r="BW237" s="44"/>
    </row>
    <row r="238" ht="21.0" customHeight="1">
      <c r="A238" s="43"/>
      <c r="B238" s="36" t="s">
        <v>216</v>
      </c>
      <c r="C238" s="26">
        <f>vlookup(B238,'재고 백업'!$A:$B,2,0)</f>
        <v>88</v>
      </c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  <c r="BU238" s="44"/>
      <c r="BV238" s="44"/>
      <c r="BW238" s="44"/>
    </row>
    <row r="239" ht="21.0" customHeight="1">
      <c r="A239" s="43"/>
      <c r="B239" s="36" t="s">
        <v>217</v>
      </c>
      <c r="C239" s="26">
        <f>vlookup(B239,'재고 백업'!$A:$B,2,0)</f>
        <v>112</v>
      </c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  <c r="BU239" s="44"/>
      <c r="BV239" s="44"/>
      <c r="BW239" s="44"/>
    </row>
    <row r="240" ht="21.0" customHeight="1">
      <c r="A240" s="43"/>
      <c r="B240" s="36" t="s">
        <v>218</v>
      </c>
      <c r="C240" s="26" t="str">
        <f>vlookup(B240,'재고 백업'!$A:$B,2,0)</f>
        <v>-</v>
      </c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  <c r="BU240" s="44"/>
      <c r="BV240" s="44"/>
      <c r="BW240" s="44"/>
    </row>
    <row r="241" ht="21.0" customHeight="1">
      <c r="A241" s="43"/>
      <c r="B241" s="36" t="s">
        <v>219</v>
      </c>
      <c r="C241" s="26">
        <f>vlookup(B241,'재고 백업'!$A:$B,2,0)</f>
        <v>2</v>
      </c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  <c r="BU241" s="44"/>
      <c r="BV241" s="44"/>
      <c r="BW241" s="44"/>
    </row>
    <row r="242" ht="21.0" customHeight="1">
      <c r="A242" s="43"/>
      <c r="B242" s="36" t="s">
        <v>220</v>
      </c>
      <c r="C242" s="26">
        <f>vlookup(B242,'재고 백업'!$A:$B,2,0)</f>
        <v>94</v>
      </c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  <c r="BU242" s="44"/>
      <c r="BV242" s="44"/>
      <c r="BW242" s="44"/>
    </row>
    <row r="243" ht="21.0" customHeight="1">
      <c r="A243" s="43"/>
      <c r="B243" s="36" t="s">
        <v>221</v>
      </c>
      <c r="C243" s="26">
        <f>vlookup(B243,'재고 백업'!$A:$B,2,0)</f>
        <v>27</v>
      </c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  <c r="BU243" s="44"/>
      <c r="BV243" s="44"/>
      <c r="BW243" s="44"/>
    </row>
    <row r="244" ht="21.0" customHeight="1">
      <c r="A244" s="43"/>
      <c r="B244" s="33"/>
      <c r="C244" s="3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  <c r="BU244" s="44"/>
      <c r="BV244" s="44"/>
      <c r="BW244" s="44"/>
    </row>
    <row r="245" ht="21.0" customHeight="1">
      <c r="A245" s="43"/>
      <c r="B245" s="49" t="s">
        <v>222</v>
      </c>
      <c r="C245" s="49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  <c r="BU245" s="44"/>
      <c r="BV245" s="44"/>
      <c r="BW245" s="44"/>
    </row>
    <row r="246" ht="21.0" customHeight="1">
      <c r="A246" s="43"/>
      <c r="B246" s="21" t="s">
        <v>223</v>
      </c>
      <c r="C246" s="26">
        <f>vlookup(B246,'재고 백업'!$A:$B,2,0)</f>
        <v>219</v>
      </c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44"/>
      <c r="BP246" s="44"/>
      <c r="BQ246" s="44"/>
      <c r="BR246" s="44"/>
      <c r="BS246" s="44"/>
      <c r="BT246" s="44"/>
      <c r="BU246" s="44"/>
      <c r="BV246" s="44"/>
      <c r="BW246" s="44"/>
    </row>
    <row r="247" ht="21.0" customHeight="1">
      <c r="A247" s="43"/>
      <c r="B247" s="21" t="s">
        <v>224</v>
      </c>
      <c r="C247" s="26">
        <f>vlookup(B247,'재고 백업'!$A:$B,2,0)</f>
        <v>34</v>
      </c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44"/>
      <c r="BP247" s="44"/>
      <c r="BQ247" s="44"/>
      <c r="BR247" s="44"/>
      <c r="BS247" s="44"/>
      <c r="BT247" s="44"/>
      <c r="BU247" s="44"/>
      <c r="BV247" s="44"/>
      <c r="BW247" s="44"/>
    </row>
    <row r="248" ht="21.0" customHeight="1">
      <c r="A248" s="43"/>
      <c r="B248" s="21" t="s">
        <v>225</v>
      </c>
      <c r="C248" s="26">
        <f>vlookup(B248,'재고 백업'!$A:$B,2,0)</f>
        <v>47</v>
      </c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44"/>
      <c r="BP248" s="44"/>
      <c r="BQ248" s="44"/>
      <c r="BR248" s="44"/>
      <c r="BS248" s="44"/>
      <c r="BT248" s="44"/>
      <c r="BU248" s="44"/>
      <c r="BV248" s="44"/>
      <c r="BW248" s="44"/>
    </row>
    <row r="249" ht="21.0" customHeight="1">
      <c r="A249" s="43"/>
      <c r="B249" s="21" t="s">
        <v>226</v>
      </c>
      <c r="C249" s="26">
        <f>vlookup(B249,'재고 백업'!$A:$B,2,0)</f>
        <v>19</v>
      </c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44"/>
      <c r="BP249" s="44"/>
      <c r="BQ249" s="44"/>
      <c r="BR249" s="44"/>
      <c r="BS249" s="44"/>
      <c r="BT249" s="44"/>
      <c r="BU249" s="44"/>
      <c r="BV249" s="44"/>
      <c r="BW249" s="44"/>
    </row>
    <row r="250" ht="21.0" customHeight="1">
      <c r="A250" s="43"/>
      <c r="B250" s="50"/>
      <c r="C250" s="34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47"/>
      <c r="AW250" s="47"/>
      <c r="AX250" s="47"/>
      <c r="AY250" s="47"/>
      <c r="AZ250" s="47"/>
      <c r="BA250" s="47"/>
      <c r="BB250" s="47"/>
      <c r="BC250" s="47"/>
      <c r="BD250" s="47"/>
      <c r="BE250" s="47"/>
      <c r="BF250" s="47"/>
      <c r="BG250" s="47"/>
      <c r="BH250" s="47"/>
      <c r="BI250" s="47"/>
      <c r="BJ250" s="47"/>
      <c r="BK250" s="47"/>
      <c r="BL250" s="47"/>
      <c r="BM250" s="47"/>
      <c r="BN250" s="47"/>
      <c r="BO250" s="47"/>
      <c r="BP250" s="47"/>
      <c r="BQ250" s="47"/>
      <c r="BR250" s="47"/>
      <c r="BS250" s="47"/>
      <c r="BT250" s="47"/>
      <c r="BU250" s="47"/>
      <c r="BV250" s="47"/>
      <c r="BW250" s="47"/>
    </row>
    <row r="251" ht="21.0" customHeight="1">
      <c r="A251" s="43"/>
      <c r="B251" s="32" t="s">
        <v>227</v>
      </c>
      <c r="C251" s="32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47"/>
      <c r="AW251" s="47"/>
      <c r="AX251" s="47"/>
      <c r="AY251" s="47"/>
      <c r="AZ251" s="47"/>
      <c r="BA251" s="47"/>
      <c r="BB251" s="47"/>
      <c r="BC251" s="47"/>
      <c r="BD251" s="47"/>
      <c r="BE251" s="47"/>
      <c r="BF251" s="47"/>
      <c r="BG251" s="47"/>
      <c r="BH251" s="47"/>
      <c r="BI251" s="47"/>
      <c r="BJ251" s="47"/>
      <c r="BK251" s="47"/>
      <c r="BL251" s="47"/>
      <c r="BM251" s="47"/>
      <c r="BN251" s="47"/>
      <c r="BO251" s="47"/>
      <c r="BP251" s="47"/>
      <c r="BQ251" s="47"/>
      <c r="BR251" s="47"/>
      <c r="BS251" s="47"/>
      <c r="BT251" s="47"/>
      <c r="BU251" s="47"/>
      <c r="BV251" s="47"/>
      <c r="BW251" s="47"/>
    </row>
    <row r="252" ht="21.0" customHeight="1">
      <c r="A252" s="43"/>
      <c r="B252" s="21" t="s">
        <v>228</v>
      </c>
      <c r="C252" s="26">
        <f>vlookup(B252,'재고 백업'!$A:$B,2,0)</f>
        <v>3</v>
      </c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47"/>
      <c r="AW252" s="47"/>
      <c r="AX252" s="47"/>
      <c r="AY252" s="47"/>
      <c r="AZ252" s="47"/>
      <c r="BA252" s="47"/>
      <c r="BB252" s="47"/>
      <c r="BC252" s="47"/>
      <c r="BD252" s="47"/>
      <c r="BE252" s="47"/>
      <c r="BF252" s="47"/>
      <c r="BG252" s="47"/>
      <c r="BH252" s="47"/>
      <c r="BI252" s="47"/>
      <c r="BJ252" s="47"/>
      <c r="BK252" s="47"/>
      <c r="BL252" s="47"/>
      <c r="BM252" s="47"/>
      <c r="BN252" s="47"/>
      <c r="BO252" s="47"/>
      <c r="BP252" s="47"/>
      <c r="BQ252" s="47"/>
      <c r="BR252" s="47"/>
      <c r="BS252" s="47"/>
      <c r="BT252" s="47"/>
      <c r="BU252" s="47"/>
      <c r="BV252" s="47"/>
      <c r="BW252" s="47"/>
    </row>
    <row r="253" ht="21.0" customHeight="1">
      <c r="A253" s="43"/>
      <c r="B253" s="21" t="s">
        <v>229</v>
      </c>
      <c r="C253" s="26" t="str">
        <f>vlookup(B253,'재고 백업'!$A:$B,2,0)</f>
        <v>-</v>
      </c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47"/>
      <c r="AW253" s="47"/>
      <c r="AX253" s="47"/>
      <c r="AY253" s="47"/>
      <c r="AZ253" s="47"/>
      <c r="BA253" s="47"/>
      <c r="BB253" s="47"/>
      <c r="BC253" s="47"/>
      <c r="BD253" s="47"/>
      <c r="BE253" s="47"/>
      <c r="BF253" s="47"/>
      <c r="BG253" s="47"/>
      <c r="BH253" s="47"/>
      <c r="BI253" s="47"/>
      <c r="BJ253" s="47"/>
      <c r="BK253" s="47"/>
      <c r="BL253" s="47"/>
      <c r="BM253" s="47"/>
      <c r="BN253" s="47"/>
      <c r="BO253" s="47"/>
      <c r="BP253" s="47"/>
      <c r="BQ253" s="47"/>
      <c r="BR253" s="47"/>
      <c r="BS253" s="47"/>
      <c r="BT253" s="47"/>
      <c r="BU253" s="47"/>
      <c r="BV253" s="47"/>
      <c r="BW253" s="47"/>
    </row>
    <row r="254" ht="21.0" customHeight="1">
      <c r="A254" s="43"/>
      <c r="B254" s="33"/>
      <c r="C254" s="34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47"/>
      <c r="AW254" s="47"/>
      <c r="AX254" s="47"/>
      <c r="AY254" s="47"/>
      <c r="AZ254" s="47"/>
      <c r="BA254" s="47"/>
      <c r="BB254" s="47"/>
      <c r="BC254" s="47"/>
      <c r="BD254" s="47"/>
      <c r="BE254" s="47"/>
      <c r="BF254" s="47"/>
      <c r="BG254" s="47"/>
      <c r="BH254" s="47"/>
      <c r="BI254" s="47"/>
      <c r="BJ254" s="47"/>
      <c r="BK254" s="47"/>
      <c r="BL254" s="47"/>
      <c r="BM254" s="47"/>
      <c r="BN254" s="47"/>
      <c r="BO254" s="47"/>
      <c r="BP254" s="47"/>
      <c r="BQ254" s="47"/>
      <c r="BR254" s="47"/>
      <c r="BS254" s="47"/>
      <c r="BT254" s="47"/>
      <c r="BU254" s="47"/>
      <c r="BV254" s="47"/>
      <c r="BW254" s="47"/>
    </row>
    <row r="255" ht="21.0" customHeight="1">
      <c r="A255" s="43"/>
      <c r="B255" s="48" t="s">
        <v>230</v>
      </c>
      <c r="C255" s="48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</row>
    <row r="256" ht="21.0" customHeight="1">
      <c r="A256" s="43"/>
      <c r="B256" s="36" t="s">
        <v>231</v>
      </c>
      <c r="C256" s="26">
        <f>vlookup(B256,'재고 백업'!$A:$B,2,0)</f>
        <v>193</v>
      </c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</row>
    <row r="257" ht="21.0" customHeight="1">
      <c r="A257" s="43"/>
      <c r="B257" s="36" t="s">
        <v>232</v>
      </c>
      <c r="C257" s="26" t="str">
        <f>vlookup(B257,'재고 백업'!$A:$B,2,0)</f>
        <v>-</v>
      </c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</row>
    <row r="258" ht="21.0" customHeight="1">
      <c r="A258" s="43"/>
      <c r="B258" s="36" t="s">
        <v>233</v>
      </c>
      <c r="C258" s="21" t="str">
        <f>vlookup(B258,'재고 백업'!$A:$B,2,0)</f>
        <v>-</v>
      </c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</row>
    <row r="259" ht="21.0" customHeight="1">
      <c r="A259" s="43"/>
      <c r="B259" s="36" t="s">
        <v>234</v>
      </c>
      <c r="C259" s="26">
        <f>vlookup(B259,'재고 백업'!$A:$B,2,0)</f>
        <v>675</v>
      </c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</row>
    <row r="260" ht="21.0" customHeight="1">
      <c r="A260" s="43"/>
      <c r="B260" s="36" t="s">
        <v>235</v>
      </c>
      <c r="C260" s="26">
        <f>vlookup(B260,'재고 백업'!$A:$B,2,0)</f>
        <v>345</v>
      </c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</row>
    <row r="261" ht="21.0" customHeight="1">
      <c r="A261" s="43"/>
      <c r="B261" s="36" t="s">
        <v>236</v>
      </c>
      <c r="C261" s="26">
        <f>vlookup(B261,'재고 백업'!$A:$B,2,0)</f>
        <v>690</v>
      </c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44"/>
      <c r="BP261" s="44"/>
      <c r="BQ261" s="44"/>
      <c r="BR261" s="44"/>
      <c r="BS261" s="44"/>
      <c r="BT261" s="44"/>
      <c r="BU261" s="44"/>
      <c r="BV261" s="44"/>
      <c r="BW261" s="44"/>
    </row>
    <row r="262" ht="21.0" customHeight="1">
      <c r="A262" s="43"/>
      <c r="B262" s="36" t="s">
        <v>237</v>
      </c>
      <c r="C262" s="26">
        <f>vlookup(B262,'재고 백업'!$A:$B,2,0)</f>
        <v>3</v>
      </c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  <c r="BU262" s="44"/>
      <c r="BV262" s="44"/>
      <c r="BW262" s="44"/>
    </row>
    <row r="263" ht="21.0" customHeight="1">
      <c r="A263" s="43"/>
      <c r="B263" s="36" t="s">
        <v>238</v>
      </c>
      <c r="C263" s="26">
        <f>vlookup(B263,'재고 백업'!$A:$B,2,0)</f>
        <v>318</v>
      </c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  <c r="BU263" s="44"/>
      <c r="BV263" s="44"/>
      <c r="BW263" s="44"/>
    </row>
    <row r="264" ht="21.0" customHeight="1">
      <c r="A264" s="43"/>
      <c r="B264" s="36" t="s">
        <v>239</v>
      </c>
      <c r="C264" s="26" t="str">
        <f>vlookup(B264,'재고 백업'!$A:$B,2,0)</f>
        <v>-</v>
      </c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  <c r="BU264" s="44"/>
      <c r="BV264" s="44"/>
      <c r="BW264" s="44"/>
    </row>
    <row r="265" ht="21.0" customHeight="1">
      <c r="A265" s="43"/>
      <c r="B265" s="36" t="s">
        <v>240</v>
      </c>
      <c r="C265" s="26">
        <f>vlookup(B265,'재고 백업'!$A:$B,2,0)</f>
        <v>473</v>
      </c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  <c r="BU265" s="44"/>
      <c r="BV265" s="44"/>
      <c r="BW265" s="44"/>
    </row>
    <row r="266" ht="21.0" customHeight="1">
      <c r="A266" s="43"/>
      <c r="B266" s="36" t="s">
        <v>241</v>
      </c>
      <c r="C266" s="26">
        <f>vlookup(B266,'재고 백업'!$A:$B,2,0)</f>
        <v>158</v>
      </c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  <c r="BU266" s="44"/>
      <c r="BV266" s="44"/>
      <c r="BW266" s="44"/>
    </row>
    <row r="267" ht="21.0" customHeight="1">
      <c r="A267" s="43"/>
      <c r="B267" s="36" t="s">
        <v>242</v>
      </c>
      <c r="C267" s="26" t="str">
        <f>vlookup(B267,'재고 백업'!$A:$B,2,0)</f>
        <v>-</v>
      </c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  <c r="BU267" s="44"/>
      <c r="BV267" s="44"/>
      <c r="BW267" s="44"/>
    </row>
    <row r="268" ht="21.0" customHeight="1">
      <c r="A268" s="43"/>
      <c r="B268" s="36" t="s">
        <v>243</v>
      </c>
      <c r="C268" s="26">
        <f>vlookup(B268,'재고 백업'!$A:$B,2,0)</f>
        <v>164</v>
      </c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  <c r="BU268" s="44"/>
      <c r="BV268" s="44"/>
      <c r="BW268" s="44"/>
    </row>
    <row r="269" ht="21.0" customHeight="1">
      <c r="A269" s="43"/>
      <c r="B269" s="36" t="s">
        <v>244</v>
      </c>
      <c r="C269" s="26" t="str">
        <f>vlookup(B269,'재고 백업'!$A:$B,2,0)</f>
        <v>-</v>
      </c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  <c r="BU269" s="44"/>
      <c r="BV269" s="44"/>
      <c r="BW269" s="44"/>
    </row>
    <row r="270" ht="21.0" customHeight="1">
      <c r="A270" s="43"/>
      <c r="B270" s="36" t="s">
        <v>245</v>
      </c>
      <c r="C270" s="26">
        <f>vlookup(B270,'재고 백업'!$A:$B,2,0)</f>
        <v>173</v>
      </c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  <c r="BU270" s="44"/>
      <c r="BV270" s="44"/>
      <c r="BW270" s="44"/>
    </row>
    <row r="271" ht="21.0" customHeight="1">
      <c r="A271" s="43"/>
      <c r="B271" s="36" t="s">
        <v>246</v>
      </c>
      <c r="C271" s="26" t="str">
        <f>vlookup(B271,'재고 백업'!$A:$B,2,0)</f>
        <v>-</v>
      </c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  <c r="BU271" s="44"/>
      <c r="BV271" s="44"/>
      <c r="BW271" s="44"/>
    </row>
    <row r="272" ht="21.0" customHeight="1">
      <c r="A272" s="43"/>
      <c r="B272" s="36" t="s">
        <v>247</v>
      </c>
      <c r="C272" s="26">
        <f>vlookup(B272,'재고 백업'!$A:$B,2,0)</f>
        <v>149</v>
      </c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  <c r="BU272" s="44"/>
      <c r="BV272" s="44"/>
      <c r="BW272" s="44"/>
    </row>
    <row r="273" ht="21.0" customHeight="1">
      <c r="A273" s="43"/>
      <c r="B273" s="36" t="s">
        <v>248</v>
      </c>
      <c r="C273" s="26" t="str">
        <f>vlookup(B273,'재고 백업'!$A:$B,2,0)</f>
        <v>-</v>
      </c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  <c r="BU273" s="44"/>
      <c r="BV273" s="44"/>
      <c r="BW273" s="44"/>
    </row>
    <row r="274" ht="21.0" customHeight="1">
      <c r="A274" s="43"/>
      <c r="B274" s="36" t="s">
        <v>249</v>
      </c>
      <c r="C274" s="26">
        <f>vlookup(B274,'재고 백업'!$A:$B,2,0)</f>
        <v>190</v>
      </c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  <c r="BU274" s="44"/>
      <c r="BV274" s="44"/>
      <c r="BW274" s="44"/>
    </row>
    <row r="275" ht="21.0" customHeight="1">
      <c r="A275" s="43"/>
      <c r="B275" s="36" t="s">
        <v>250</v>
      </c>
      <c r="C275" s="26" t="str">
        <f>vlookup(B275,'재고 백업'!$A:$B,2,0)</f>
        <v>-</v>
      </c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  <c r="BU275" s="44"/>
      <c r="BV275" s="44"/>
      <c r="BW275" s="44"/>
    </row>
    <row r="276" ht="21.0" customHeight="1">
      <c r="A276" s="43"/>
      <c r="B276" s="36" t="s">
        <v>251</v>
      </c>
      <c r="C276" s="26">
        <f>vlookup(B276,'재고 백업'!$A:$B,2,0)</f>
        <v>180</v>
      </c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  <c r="BU276" s="44"/>
      <c r="BV276" s="44"/>
      <c r="BW276" s="44"/>
    </row>
    <row r="277" ht="21.0" customHeight="1">
      <c r="A277" s="43"/>
      <c r="B277" s="36" t="s">
        <v>252</v>
      </c>
      <c r="C277" s="26">
        <f>vlookup(B277,'재고 백업'!$A:$B,2,0)</f>
        <v>569</v>
      </c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  <c r="BU277" s="44"/>
      <c r="BV277" s="44"/>
      <c r="BW277" s="44"/>
    </row>
    <row r="278" ht="21.0" customHeight="1">
      <c r="A278" s="43"/>
      <c r="B278" s="36" t="s">
        <v>253</v>
      </c>
      <c r="C278" s="26" t="str">
        <f>vlookup(B278,'재고 백업'!$A:$B,2,0)</f>
        <v>-</v>
      </c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  <c r="BU278" s="44"/>
      <c r="BV278" s="44"/>
      <c r="BW278" s="44"/>
    </row>
    <row r="279" ht="21.0" customHeight="1">
      <c r="A279" s="43"/>
      <c r="B279" s="36" t="s">
        <v>254</v>
      </c>
      <c r="C279" s="26">
        <f>vlookup(B279,'재고 백업'!$A:$B,2,0)</f>
        <v>278</v>
      </c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  <c r="BU279" s="44"/>
      <c r="BV279" s="44"/>
      <c r="BW279" s="44"/>
    </row>
    <row r="280" ht="21.0" customHeight="1">
      <c r="A280" s="43"/>
      <c r="B280" s="36" t="s">
        <v>255</v>
      </c>
      <c r="C280" s="26" t="str">
        <f>vlookup(B280,'재고 백업'!$A:$B,2,0)</f>
        <v>-</v>
      </c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  <c r="BU280" s="44"/>
      <c r="BV280" s="44"/>
      <c r="BW280" s="44"/>
    </row>
    <row r="281" ht="21.0" customHeight="1">
      <c r="A281" s="43"/>
      <c r="B281" s="36" t="s">
        <v>256</v>
      </c>
      <c r="C281" s="26" t="str">
        <f>vlookup(B281,'재고 백업'!$A:$B,2,0)</f>
        <v>-</v>
      </c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  <c r="BU281" s="44"/>
      <c r="BV281" s="44"/>
      <c r="BW281" s="44"/>
    </row>
    <row r="282" ht="21.0" customHeight="1">
      <c r="A282" s="43"/>
      <c r="B282" s="36" t="s">
        <v>257</v>
      </c>
      <c r="C282" s="26">
        <f>vlookup(B282,'재고 백업'!$A:$B,2,0)</f>
        <v>1550</v>
      </c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  <c r="BU282" s="44"/>
      <c r="BV282" s="44"/>
      <c r="BW282" s="44"/>
    </row>
    <row r="283" ht="21.0" customHeight="1">
      <c r="A283" s="43"/>
      <c r="B283" s="36" t="s">
        <v>258</v>
      </c>
      <c r="C283" s="26" t="str">
        <f>vlookup(B283,'재고 백업'!$A:$B,2,0)</f>
        <v>-</v>
      </c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  <c r="BU283" s="44"/>
      <c r="BV283" s="44"/>
      <c r="BW283" s="44"/>
    </row>
    <row r="284" ht="21.0" customHeight="1">
      <c r="A284" s="43"/>
      <c r="B284" s="36" t="s">
        <v>259</v>
      </c>
      <c r="C284" s="26" t="str">
        <f>vlookup(B284,'재고 백업'!$A:$B,2,0)</f>
        <v>-</v>
      </c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  <c r="BU284" s="44"/>
      <c r="BV284" s="44"/>
      <c r="BW284" s="44"/>
    </row>
    <row r="285" ht="21.0" customHeight="1">
      <c r="A285" s="43"/>
      <c r="B285" s="36" t="s">
        <v>260</v>
      </c>
      <c r="C285" s="26" t="str">
        <f>vlookup(B285,'재고 백업'!$A:$B,2,0)</f>
        <v>-</v>
      </c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  <c r="BU285" s="44"/>
      <c r="BV285" s="44"/>
      <c r="BW285" s="44"/>
    </row>
    <row r="286" ht="21.0" customHeight="1">
      <c r="A286" s="43"/>
      <c r="B286" s="36" t="s">
        <v>261</v>
      </c>
      <c r="C286" s="26">
        <f>vlookup(B286,'재고 백업'!$A:$B,2,0)</f>
        <v>570</v>
      </c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  <c r="BU286" s="44"/>
      <c r="BV286" s="44"/>
      <c r="BW286" s="44"/>
    </row>
    <row r="287" ht="21.0" customHeight="1">
      <c r="A287" s="43"/>
      <c r="B287" s="36" t="s">
        <v>262</v>
      </c>
      <c r="C287" s="26" t="str">
        <f>vlookup(B287,'재고 백업'!$A:$B,2,0)</f>
        <v>-</v>
      </c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  <c r="BU287" s="44"/>
      <c r="BV287" s="44"/>
      <c r="BW287" s="44"/>
    </row>
    <row r="288" ht="21.0" customHeight="1">
      <c r="A288" s="43"/>
      <c r="B288" s="36" t="s">
        <v>263</v>
      </c>
      <c r="C288" s="26">
        <f>vlookup(B288,'재고 백업'!$A:$B,2,0)</f>
        <v>197</v>
      </c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  <c r="BU288" s="44"/>
      <c r="BV288" s="44"/>
      <c r="BW288" s="44"/>
    </row>
    <row r="289" ht="21.0" customHeight="1">
      <c r="A289" s="43"/>
      <c r="B289" s="36" t="s">
        <v>264</v>
      </c>
      <c r="C289" s="26" t="str">
        <f>vlookup(B289,'재고 백업'!$A:$B,2,0)</f>
        <v>-</v>
      </c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  <c r="BU289" s="44"/>
      <c r="BV289" s="44"/>
      <c r="BW289" s="44"/>
    </row>
    <row r="290" ht="21.0" customHeight="1">
      <c r="A290" s="43"/>
      <c r="B290" s="36" t="s">
        <v>265</v>
      </c>
      <c r="C290" s="26">
        <f>vlookup(B290,'재고 백업'!$A:$B,2,0)</f>
        <v>60</v>
      </c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  <c r="BU290" s="44"/>
      <c r="BV290" s="44"/>
      <c r="BW290" s="44"/>
    </row>
    <row r="291" ht="21.0" customHeight="1">
      <c r="A291" s="43"/>
      <c r="B291" s="36" t="s">
        <v>266</v>
      </c>
      <c r="C291" s="26">
        <f>vlookup(B291,'재고 백업'!$A:$B,2,0)</f>
        <v>22</v>
      </c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  <c r="BU291" s="44"/>
      <c r="BV291" s="44"/>
      <c r="BW291" s="44"/>
    </row>
    <row r="292" ht="21.0" customHeight="1">
      <c r="A292" s="43"/>
      <c r="B292" s="33"/>
      <c r="C292" s="3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  <c r="BU292" s="44"/>
      <c r="BV292" s="44"/>
      <c r="BW292" s="44"/>
    </row>
    <row r="293" ht="21.0" customHeight="1">
      <c r="A293" s="43"/>
      <c r="B293" s="35" t="s">
        <v>267</v>
      </c>
      <c r="C293" s="35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  <c r="BU293" s="44"/>
      <c r="BV293" s="44"/>
      <c r="BW293" s="44"/>
    </row>
    <row r="294" ht="21.0" customHeight="1">
      <c r="A294" s="43"/>
      <c r="B294" s="36" t="s">
        <v>268</v>
      </c>
      <c r="C294" s="26">
        <f>vlookup(B294,'재고 백업'!$A:$B,2,0)</f>
        <v>63</v>
      </c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  <c r="BU294" s="44"/>
      <c r="BV294" s="44"/>
      <c r="BW294" s="44"/>
    </row>
    <row r="295" ht="21.0" customHeight="1">
      <c r="A295" s="43"/>
      <c r="B295" s="36" t="s">
        <v>269</v>
      </c>
      <c r="C295" s="26">
        <f>vlookup(B295,'재고 백업'!$A:$B,2,0)</f>
        <v>154</v>
      </c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</row>
    <row r="296" ht="21.0" customHeight="1">
      <c r="A296" s="43"/>
      <c r="B296" s="36" t="s">
        <v>270</v>
      </c>
      <c r="C296" s="26">
        <f>vlookup(B296,'재고 백업'!$A:$B,2,0)</f>
        <v>84</v>
      </c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</row>
    <row r="297" ht="21.0" customHeight="1">
      <c r="A297" s="43"/>
      <c r="B297" s="36" t="s">
        <v>271</v>
      </c>
      <c r="C297" s="26">
        <f>vlookup(B297,'재고 백업'!$A:$B,2,0)</f>
        <v>29</v>
      </c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</row>
    <row r="298" ht="21.0" customHeight="1">
      <c r="A298" s="43"/>
      <c r="B298" s="36" t="s">
        <v>272</v>
      </c>
      <c r="C298" s="26">
        <f>vlookup(B298,'재고 백업'!$A:$B,2,0)</f>
        <v>146</v>
      </c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</row>
    <row r="299" ht="21.0" customHeight="1">
      <c r="A299" s="43"/>
      <c r="B299" s="36" t="s">
        <v>273</v>
      </c>
      <c r="C299" s="26">
        <f>vlookup(B299,'재고 백업'!$A:$B,2,0)</f>
        <v>320</v>
      </c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</row>
    <row r="300" ht="21.0" customHeight="1">
      <c r="A300" s="43"/>
      <c r="B300" s="36" t="s">
        <v>274</v>
      </c>
      <c r="C300" s="26">
        <f>vlookup(B300,'재고 백업'!$A:$B,2,0)</f>
        <v>36</v>
      </c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  <c r="AG300" s="47"/>
      <c r="AH300" s="47"/>
      <c r="AI300" s="47"/>
      <c r="AJ300" s="47"/>
      <c r="AK300" s="47"/>
      <c r="AL300" s="47"/>
      <c r="AM300" s="47"/>
      <c r="AN300" s="47"/>
      <c r="AO300" s="47"/>
      <c r="AP300" s="47"/>
      <c r="AQ300" s="47"/>
      <c r="AR300" s="47"/>
      <c r="AS300" s="47"/>
      <c r="AT300" s="47"/>
      <c r="AU300" s="47"/>
      <c r="AV300" s="47"/>
      <c r="AW300" s="47"/>
      <c r="AX300" s="47"/>
      <c r="AY300" s="47"/>
      <c r="AZ300" s="47"/>
      <c r="BA300" s="47"/>
      <c r="BB300" s="47"/>
      <c r="BC300" s="47"/>
      <c r="BD300" s="47"/>
      <c r="BE300" s="47"/>
      <c r="BF300" s="47"/>
      <c r="BG300" s="47"/>
      <c r="BH300" s="47"/>
      <c r="BI300" s="47"/>
      <c r="BJ300" s="47"/>
      <c r="BK300" s="47"/>
      <c r="BL300" s="47"/>
      <c r="BM300" s="47"/>
      <c r="BN300" s="47"/>
      <c r="BO300" s="47"/>
      <c r="BP300" s="47"/>
      <c r="BQ300" s="47"/>
      <c r="BR300" s="47"/>
      <c r="BS300" s="47"/>
      <c r="BT300" s="47"/>
      <c r="BU300" s="47"/>
      <c r="BV300" s="47"/>
      <c r="BW300" s="47"/>
    </row>
    <row r="301" ht="21.0" customHeight="1">
      <c r="A301" s="43"/>
      <c r="B301" s="36" t="s">
        <v>275</v>
      </c>
      <c r="C301" s="26">
        <f>vlookup(B301,'재고 백업'!$A:$B,2,0)</f>
        <v>16</v>
      </c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  <c r="AG301" s="47"/>
      <c r="AH301" s="47"/>
      <c r="AI301" s="47"/>
      <c r="AJ301" s="47"/>
      <c r="AK301" s="47"/>
      <c r="AL301" s="47"/>
      <c r="AM301" s="47"/>
      <c r="AN301" s="47"/>
      <c r="AO301" s="47"/>
      <c r="AP301" s="47"/>
      <c r="AQ301" s="47"/>
      <c r="AR301" s="47"/>
      <c r="AS301" s="47"/>
      <c r="AT301" s="47"/>
      <c r="AU301" s="47"/>
      <c r="AV301" s="47"/>
      <c r="AW301" s="47"/>
      <c r="AX301" s="47"/>
      <c r="AY301" s="47"/>
      <c r="AZ301" s="47"/>
      <c r="BA301" s="47"/>
      <c r="BB301" s="47"/>
      <c r="BC301" s="47"/>
      <c r="BD301" s="47"/>
      <c r="BE301" s="47"/>
      <c r="BF301" s="47"/>
      <c r="BG301" s="47"/>
      <c r="BH301" s="47"/>
      <c r="BI301" s="47"/>
      <c r="BJ301" s="47"/>
      <c r="BK301" s="47"/>
      <c r="BL301" s="47"/>
      <c r="BM301" s="47"/>
      <c r="BN301" s="47"/>
      <c r="BO301" s="47"/>
      <c r="BP301" s="47"/>
      <c r="BQ301" s="47"/>
      <c r="BR301" s="47"/>
      <c r="BS301" s="47"/>
      <c r="BT301" s="47"/>
      <c r="BU301" s="47"/>
      <c r="BV301" s="47"/>
      <c r="BW301" s="47"/>
    </row>
    <row r="302" ht="21.0" customHeight="1">
      <c r="A302" s="43"/>
      <c r="B302" s="36" t="s">
        <v>276</v>
      </c>
      <c r="C302" s="26">
        <f>vlookup(B302,'재고 백업'!$A:$B,2,0)</f>
        <v>114</v>
      </c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  <c r="AG302" s="47"/>
      <c r="AH302" s="47"/>
      <c r="AI302" s="47"/>
      <c r="AJ302" s="47"/>
      <c r="AK302" s="47"/>
      <c r="AL302" s="47"/>
      <c r="AM302" s="47"/>
      <c r="AN302" s="47"/>
      <c r="AO302" s="47"/>
      <c r="AP302" s="47"/>
      <c r="AQ302" s="47"/>
      <c r="AR302" s="47"/>
      <c r="AS302" s="47"/>
      <c r="AT302" s="47"/>
      <c r="AU302" s="47"/>
      <c r="AV302" s="47"/>
      <c r="AW302" s="47"/>
      <c r="AX302" s="47"/>
      <c r="AY302" s="47"/>
      <c r="AZ302" s="47"/>
      <c r="BA302" s="47"/>
      <c r="BB302" s="47"/>
      <c r="BC302" s="47"/>
      <c r="BD302" s="47"/>
      <c r="BE302" s="47"/>
      <c r="BF302" s="47"/>
      <c r="BG302" s="47"/>
      <c r="BH302" s="47"/>
      <c r="BI302" s="47"/>
      <c r="BJ302" s="47"/>
      <c r="BK302" s="47"/>
      <c r="BL302" s="47"/>
      <c r="BM302" s="47"/>
      <c r="BN302" s="47"/>
      <c r="BO302" s="47"/>
      <c r="BP302" s="47"/>
      <c r="BQ302" s="47"/>
      <c r="BR302" s="47"/>
      <c r="BS302" s="47"/>
      <c r="BT302" s="47"/>
      <c r="BU302" s="47"/>
      <c r="BV302" s="47"/>
      <c r="BW302" s="47"/>
    </row>
    <row r="303" ht="21.0" customHeight="1">
      <c r="A303" s="43"/>
      <c r="B303" s="36" t="s">
        <v>277</v>
      </c>
      <c r="C303" s="26">
        <f>vlookup(B303,'재고 백업'!$A:$B,2,0)</f>
        <v>34</v>
      </c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  <c r="AG303" s="47"/>
      <c r="AH303" s="47"/>
      <c r="AI303" s="47"/>
      <c r="AJ303" s="47"/>
      <c r="AK303" s="47"/>
      <c r="AL303" s="47"/>
      <c r="AM303" s="47"/>
      <c r="AN303" s="47"/>
      <c r="AO303" s="47"/>
      <c r="AP303" s="47"/>
      <c r="AQ303" s="47"/>
      <c r="AR303" s="47"/>
      <c r="AS303" s="47"/>
      <c r="AT303" s="47"/>
      <c r="AU303" s="47"/>
      <c r="AV303" s="47"/>
      <c r="AW303" s="47"/>
      <c r="AX303" s="47"/>
      <c r="AY303" s="47"/>
      <c r="AZ303" s="47"/>
      <c r="BA303" s="47"/>
      <c r="BB303" s="47"/>
      <c r="BC303" s="47"/>
      <c r="BD303" s="47"/>
      <c r="BE303" s="47"/>
      <c r="BF303" s="47"/>
      <c r="BG303" s="47"/>
      <c r="BH303" s="47"/>
      <c r="BI303" s="47"/>
      <c r="BJ303" s="47"/>
      <c r="BK303" s="47"/>
      <c r="BL303" s="47"/>
      <c r="BM303" s="47"/>
      <c r="BN303" s="47"/>
      <c r="BO303" s="47"/>
      <c r="BP303" s="47"/>
      <c r="BQ303" s="47"/>
      <c r="BR303" s="47"/>
      <c r="BS303" s="47"/>
      <c r="BT303" s="47"/>
      <c r="BU303" s="47"/>
      <c r="BV303" s="47"/>
      <c r="BW303" s="47"/>
    </row>
    <row r="304" ht="21.0" customHeight="1">
      <c r="A304" s="43"/>
      <c r="B304" s="36" t="s">
        <v>278</v>
      </c>
      <c r="C304" s="26">
        <f>vlookup(B304,'재고 백업'!$A:$B,2,0)</f>
        <v>186</v>
      </c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  <c r="AG304" s="47"/>
      <c r="AH304" s="47"/>
      <c r="AI304" s="47"/>
      <c r="AJ304" s="47"/>
      <c r="AK304" s="47"/>
      <c r="AL304" s="47"/>
      <c r="AM304" s="47"/>
      <c r="AN304" s="47"/>
      <c r="AO304" s="47"/>
      <c r="AP304" s="47"/>
      <c r="AQ304" s="47"/>
      <c r="AR304" s="47"/>
      <c r="AS304" s="47"/>
      <c r="AT304" s="47"/>
      <c r="AU304" s="47"/>
      <c r="AV304" s="47"/>
      <c r="AW304" s="47"/>
      <c r="AX304" s="47"/>
      <c r="AY304" s="47"/>
      <c r="AZ304" s="47"/>
      <c r="BA304" s="47"/>
      <c r="BB304" s="47"/>
      <c r="BC304" s="47"/>
      <c r="BD304" s="47"/>
      <c r="BE304" s="47"/>
      <c r="BF304" s="47"/>
      <c r="BG304" s="47"/>
      <c r="BH304" s="47"/>
      <c r="BI304" s="47"/>
      <c r="BJ304" s="47"/>
      <c r="BK304" s="47"/>
      <c r="BL304" s="47"/>
      <c r="BM304" s="47"/>
      <c r="BN304" s="47"/>
      <c r="BO304" s="47"/>
      <c r="BP304" s="47"/>
      <c r="BQ304" s="47"/>
      <c r="BR304" s="47"/>
      <c r="BS304" s="47"/>
      <c r="BT304" s="47"/>
      <c r="BU304" s="47"/>
      <c r="BV304" s="47"/>
      <c r="BW304" s="47"/>
    </row>
    <row r="305" ht="21.0" customHeight="1">
      <c r="A305" s="43"/>
      <c r="B305" s="36" t="s">
        <v>279</v>
      </c>
      <c r="C305" s="26">
        <f>vlookup(B305,'재고 백업'!$A:$B,2,0)</f>
        <v>148</v>
      </c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</row>
    <row r="306" ht="21.0" customHeight="1">
      <c r="A306" s="43"/>
      <c r="B306" s="36" t="s">
        <v>280</v>
      </c>
      <c r="C306" s="26" t="str">
        <f>vlookup(B306,'재고 백업'!$A:$B,2,0)</f>
        <v>-</v>
      </c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</row>
    <row r="307" ht="21.0" customHeight="1">
      <c r="A307" s="43"/>
      <c r="B307" s="36" t="s">
        <v>281</v>
      </c>
      <c r="C307" s="26">
        <f>vlookup(B307,'재고 백업'!$A:$B,2,0)</f>
        <v>14</v>
      </c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</row>
    <row r="308" ht="21.0" customHeight="1">
      <c r="A308" s="43"/>
      <c r="B308" s="36" t="s">
        <v>282</v>
      </c>
      <c r="C308" s="26">
        <f>vlookup(B308,'재고 백업'!$A:$B,2,0)</f>
        <v>265</v>
      </c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</row>
    <row r="309" ht="21.0" customHeight="1">
      <c r="A309" s="43"/>
      <c r="B309" s="33"/>
      <c r="C309" s="3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</row>
    <row r="310" ht="21.0" customHeight="1">
      <c r="A310" s="43"/>
      <c r="B310" s="35" t="s">
        <v>283</v>
      </c>
      <c r="C310" s="35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</row>
    <row r="311" ht="21.0" customHeight="1">
      <c r="A311" s="43"/>
      <c r="B311" s="36" t="s">
        <v>284</v>
      </c>
      <c r="C311" s="26" t="str">
        <f>vlookup(B311,'재고 백업'!$A:$B,2,0)</f>
        <v>-</v>
      </c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</row>
    <row r="312" ht="21.0" customHeight="1">
      <c r="A312" s="43"/>
      <c r="B312" s="33"/>
      <c r="C312" s="3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</row>
    <row r="313" ht="21.0" customHeight="1">
      <c r="A313" s="43"/>
      <c r="B313" s="35" t="s">
        <v>285</v>
      </c>
      <c r="C313" s="35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</row>
    <row r="314" ht="21.0" customHeight="1">
      <c r="A314" s="43"/>
      <c r="B314" s="36" t="s">
        <v>286</v>
      </c>
      <c r="C314" s="26">
        <f>vlookup(B314,'재고 백업'!$A:$B,2,0)</f>
        <v>31</v>
      </c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</row>
    <row r="315" ht="21.0" customHeight="1">
      <c r="A315" s="43"/>
      <c r="B315" s="33"/>
      <c r="C315" s="3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</row>
    <row r="316" ht="21.0" customHeight="1">
      <c r="A316" s="43"/>
      <c r="B316" s="35" t="s">
        <v>287</v>
      </c>
      <c r="C316" s="35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</row>
    <row r="317" ht="21.0" customHeight="1">
      <c r="A317" s="43"/>
      <c r="B317" s="30" t="s">
        <v>288</v>
      </c>
      <c r="C317" s="26">
        <f>vlookup(B317,'재고 백업'!$A:$B,2,0)</f>
        <v>146</v>
      </c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</row>
    <row r="318" ht="21.0" customHeight="1">
      <c r="A318" s="43"/>
      <c r="B318" s="30" t="s">
        <v>289</v>
      </c>
      <c r="C318" s="26">
        <f>vlookup(B318,'재고 백업'!$A:$B,2,0)</f>
        <v>593</v>
      </c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</row>
    <row r="319" ht="21.0" customHeight="1">
      <c r="A319" s="43"/>
      <c r="B319" s="30" t="s">
        <v>290</v>
      </c>
      <c r="C319" s="26">
        <f>vlookup(B319,'재고 백업'!$A:$B,2,0)</f>
        <v>175</v>
      </c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</row>
    <row r="320" ht="21.0" customHeight="1">
      <c r="A320" s="43"/>
      <c r="B320" s="30" t="s">
        <v>291</v>
      </c>
      <c r="C320" s="26">
        <f>vlookup(B320,'재고 백업'!$A:$B,2,0)</f>
        <v>579</v>
      </c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</row>
    <row r="321" ht="21.0" customHeight="1">
      <c r="A321" s="43"/>
      <c r="B321" s="30" t="s">
        <v>292</v>
      </c>
      <c r="C321" s="26">
        <f>vlookup(B321,'재고 백업'!$A:$B,2,0)</f>
        <v>180</v>
      </c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</row>
    <row r="322" ht="21.0" customHeight="1">
      <c r="A322" s="43"/>
      <c r="B322" s="30" t="s">
        <v>293</v>
      </c>
      <c r="C322" s="26">
        <f>vlookup(B322,'재고 백업'!$A:$B,2,0)</f>
        <v>118</v>
      </c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</row>
    <row r="323" ht="21.0" customHeight="1">
      <c r="A323" s="43"/>
      <c r="B323" s="30" t="s">
        <v>294</v>
      </c>
      <c r="C323" s="26">
        <f>vlookup(B323,'재고 백업'!$A:$B,2,0)</f>
        <v>21</v>
      </c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</row>
    <row r="324" ht="21.0" customHeight="1">
      <c r="A324" s="43"/>
      <c r="B324" s="30" t="s">
        <v>295</v>
      </c>
      <c r="C324" s="26">
        <f>vlookup(B324,'재고 백업'!$A:$B,2,0)</f>
        <v>1</v>
      </c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</row>
    <row r="325" ht="21.0" customHeight="1">
      <c r="A325" s="43"/>
      <c r="B325" s="30" t="s">
        <v>296</v>
      </c>
      <c r="C325" s="26">
        <f>vlookup(B325,'재고 백업'!$A:$B,2,0)</f>
        <v>451</v>
      </c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</row>
    <row r="326" ht="21.0" customHeight="1">
      <c r="A326" s="43"/>
      <c r="B326" s="30" t="s">
        <v>297</v>
      </c>
      <c r="C326" s="26">
        <f>vlookup(B326,'재고 백업'!$A:$B,2,0)</f>
        <v>188</v>
      </c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</row>
    <row r="327" ht="21.0" customHeight="1">
      <c r="A327" s="43"/>
      <c r="B327" s="30" t="s">
        <v>298</v>
      </c>
      <c r="C327" s="26">
        <f>vlookup(B327,'재고 백업'!$A:$B,2,0)</f>
        <v>1749</v>
      </c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</row>
    <row r="328" ht="21.0" customHeight="1">
      <c r="A328" s="43"/>
      <c r="B328" s="30" t="s">
        <v>299</v>
      </c>
      <c r="C328" s="26">
        <f>vlookup(B328,'재고 백업'!$A:$B,2,0)</f>
        <v>93</v>
      </c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</row>
    <row r="329" ht="21.0" customHeight="1">
      <c r="A329" s="43"/>
      <c r="B329" s="30" t="s">
        <v>300</v>
      </c>
      <c r="C329" s="26">
        <f>vlookup(B329,'재고 백업'!$A:$B,2,0)</f>
        <v>116</v>
      </c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</row>
    <row r="330" ht="21.0" customHeight="1">
      <c r="A330" s="43"/>
      <c r="B330" s="30" t="s">
        <v>301</v>
      </c>
      <c r="C330" s="26">
        <f>vlookup(B330,'재고 백업'!$A:$B,2,0)</f>
        <v>202</v>
      </c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</row>
    <row r="331" ht="21.0" customHeight="1">
      <c r="A331" s="43"/>
      <c r="B331" s="30" t="s">
        <v>302</v>
      </c>
      <c r="C331" s="26">
        <f>vlookup(B331,'재고 백업'!$A:$B,2,0)</f>
        <v>29</v>
      </c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</row>
    <row r="332" ht="21.0" customHeight="1">
      <c r="A332" s="43"/>
      <c r="B332" s="30" t="s">
        <v>303</v>
      </c>
      <c r="C332" s="26">
        <f>vlookup(B332,'재고 백업'!$A:$B,2,0)</f>
        <v>134</v>
      </c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</row>
    <row r="333" ht="21.0" customHeight="1">
      <c r="A333" s="43"/>
      <c r="B333" s="30" t="s">
        <v>304</v>
      </c>
      <c r="C333" s="26">
        <f>vlookup(B333,'재고 백업'!$A:$B,2,0)</f>
        <v>67</v>
      </c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</row>
    <row r="334" ht="21.0" customHeight="1">
      <c r="A334" s="43"/>
      <c r="B334" s="30" t="s">
        <v>305</v>
      </c>
      <c r="C334" s="26" t="str">
        <f>vlookup(B334,'재고 백업'!$A:$B,2,0)</f>
        <v>-</v>
      </c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  <c r="AG334" s="47"/>
      <c r="AH334" s="47"/>
      <c r="AI334" s="47"/>
      <c r="AJ334" s="47"/>
      <c r="AK334" s="47"/>
      <c r="AL334" s="47"/>
      <c r="AM334" s="47"/>
      <c r="AN334" s="47"/>
      <c r="AO334" s="47"/>
      <c r="AP334" s="47"/>
      <c r="AQ334" s="47"/>
      <c r="AR334" s="47"/>
      <c r="AS334" s="47"/>
      <c r="AT334" s="47"/>
      <c r="AU334" s="47"/>
      <c r="AV334" s="47"/>
      <c r="AW334" s="47"/>
      <c r="AX334" s="47"/>
      <c r="AY334" s="47"/>
      <c r="AZ334" s="47"/>
      <c r="BA334" s="47"/>
      <c r="BB334" s="47"/>
      <c r="BC334" s="47"/>
      <c r="BD334" s="47"/>
      <c r="BE334" s="47"/>
      <c r="BF334" s="47"/>
      <c r="BG334" s="47"/>
      <c r="BH334" s="47"/>
      <c r="BI334" s="47"/>
      <c r="BJ334" s="47"/>
      <c r="BK334" s="47"/>
      <c r="BL334" s="47"/>
      <c r="BM334" s="47"/>
      <c r="BN334" s="47"/>
      <c r="BO334" s="47"/>
      <c r="BP334" s="47"/>
      <c r="BQ334" s="47"/>
      <c r="BR334" s="47"/>
      <c r="BS334" s="47"/>
      <c r="BT334" s="47"/>
      <c r="BU334" s="47"/>
      <c r="BV334" s="47"/>
      <c r="BW334" s="47"/>
    </row>
    <row r="335" ht="21.0" customHeight="1">
      <c r="A335" s="43"/>
      <c r="B335" s="30" t="s">
        <v>306</v>
      </c>
      <c r="C335" s="26">
        <f>vlookup(B335,'재고 백업'!$A:$B,2,0)</f>
        <v>336</v>
      </c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  <c r="AG335" s="47"/>
      <c r="AH335" s="47"/>
      <c r="AI335" s="47"/>
      <c r="AJ335" s="47"/>
      <c r="AK335" s="47"/>
      <c r="AL335" s="47"/>
      <c r="AM335" s="47"/>
      <c r="AN335" s="47"/>
      <c r="AO335" s="47"/>
      <c r="AP335" s="47"/>
      <c r="AQ335" s="47"/>
      <c r="AR335" s="47"/>
      <c r="AS335" s="47"/>
      <c r="AT335" s="47"/>
      <c r="AU335" s="47"/>
      <c r="AV335" s="47"/>
      <c r="AW335" s="47"/>
      <c r="AX335" s="47"/>
      <c r="AY335" s="47"/>
      <c r="AZ335" s="47"/>
      <c r="BA335" s="47"/>
      <c r="BB335" s="47"/>
      <c r="BC335" s="47"/>
      <c r="BD335" s="47"/>
      <c r="BE335" s="47"/>
      <c r="BF335" s="47"/>
      <c r="BG335" s="47"/>
      <c r="BH335" s="47"/>
      <c r="BI335" s="47"/>
      <c r="BJ335" s="47"/>
      <c r="BK335" s="47"/>
      <c r="BL335" s="47"/>
      <c r="BM335" s="47"/>
      <c r="BN335" s="47"/>
      <c r="BO335" s="47"/>
      <c r="BP335" s="47"/>
      <c r="BQ335" s="47"/>
      <c r="BR335" s="47"/>
      <c r="BS335" s="47"/>
      <c r="BT335" s="47"/>
      <c r="BU335" s="47"/>
      <c r="BV335" s="47"/>
      <c r="BW335" s="47"/>
    </row>
    <row r="336" ht="21.0" customHeight="1">
      <c r="A336" s="43"/>
      <c r="B336" s="30" t="s">
        <v>307</v>
      </c>
      <c r="C336" s="26" t="str">
        <f>vlookup(B336,'재고 백업'!$A:$B,2,0)</f>
        <v>-</v>
      </c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  <c r="AG336" s="47"/>
      <c r="AH336" s="47"/>
      <c r="AI336" s="47"/>
      <c r="AJ336" s="47"/>
      <c r="AK336" s="47"/>
      <c r="AL336" s="47"/>
      <c r="AM336" s="47"/>
      <c r="AN336" s="47"/>
      <c r="AO336" s="47"/>
      <c r="AP336" s="47"/>
      <c r="AQ336" s="47"/>
      <c r="AR336" s="47"/>
      <c r="AS336" s="47"/>
      <c r="AT336" s="47"/>
      <c r="AU336" s="47"/>
      <c r="AV336" s="47"/>
      <c r="AW336" s="47"/>
      <c r="AX336" s="47"/>
      <c r="AY336" s="47"/>
      <c r="AZ336" s="47"/>
      <c r="BA336" s="47"/>
      <c r="BB336" s="47"/>
      <c r="BC336" s="47"/>
      <c r="BD336" s="47"/>
      <c r="BE336" s="47"/>
      <c r="BF336" s="47"/>
      <c r="BG336" s="47"/>
      <c r="BH336" s="47"/>
      <c r="BI336" s="47"/>
      <c r="BJ336" s="47"/>
      <c r="BK336" s="47"/>
      <c r="BL336" s="47"/>
      <c r="BM336" s="47"/>
      <c r="BN336" s="47"/>
      <c r="BO336" s="47"/>
      <c r="BP336" s="47"/>
      <c r="BQ336" s="47"/>
      <c r="BR336" s="47"/>
      <c r="BS336" s="47"/>
      <c r="BT336" s="47"/>
      <c r="BU336" s="47"/>
      <c r="BV336" s="47"/>
      <c r="BW336" s="47"/>
    </row>
    <row r="337" ht="21.0" customHeight="1">
      <c r="A337" s="43"/>
      <c r="B337" s="30" t="s">
        <v>308</v>
      </c>
      <c r="C337" s="26">
        <f>vlookup(B337,'재고 백업'!$A:$B,2,0)</f>
        <v>53</v>
      </c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  <c r="AG337" s="47"/>
      <c r="AH337" s="47"/>
      <c r="AI337" s="47"/>
      <c r="AJ337" s="47"/>
      <c r="AK337" s="47"/>
      <c r="AL337" s="47"/>
      <c r="AM337" s="47"/>
      <c r="AN337" s="47"/>
      <c r="AO337" s="47"/>
      <c r="AP337" s="47"/>
      <c r="AQ337" s="47"/>
      <c r="AR337" s="47"/>
      <c r="AS337" s="47"/>
      <c r="AT337" s="47"/>
      <c r="AU337" s="47"/>
      <c r="AV337" s="47"/>
      <c r="AW337" s="47"/>
      <c r="AX337" s="47"/>
      <c r="AY337" s="47"/>
      <c r="AZ337" s="47"/>
      <c r="BA337" s="47"/>
      <c r="BB337" s="47"/>
      <c r="BC337" s="47"/>
      <c r="BD337" s="47"/>
      <c r="BE337" s="47"/>
      <c r="BF337" s="47"/>
      <c r="BG337" s="47"/>
      <c r="BH337" s="47"/>
      <c r="BI337" s="47"/>
      <c r="BJ337" s="47"/>
      <c r="BK337" s="47"/>
      <c r="BL337" s="47"/>
      <c r="BM337" s="47"/>
      <c r="BN337" s="47"/>
      <c r="BO337" s="47"/>
      <c r="BP337" s="47"/>
      <c r="BQ337" s="47"/>
      <c r="BR337" s="47"/>
      <c r="BS337" s="47"/>
      <c r="BT337" s="47"/>
      <c r="BU337" s="47"/>
      <c r="BV337" s="47"/>
      <c r="BW337" s="47"/>
    </row>
    <row r="338" ht="21.0" customHeight="1">
      <c r="A338" s="43"/>
      <c r="B338" s="30" t="s">
        <v>309</v>
      </c>
      <c r="C338" s="26">
        <f>vlookup(B338,'재고 백업'!$A:$B,2,0)</f>
        <v>749</v>
      </c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  <c r="AG338" s="47"/>
      <c r="AH338" s="47"/>
      <c r="AI338" s="47"/>
      <c r="AJ338" s="47"/>
      <c r="AK338" s="47"/>
      <c r="AL338" s="47"/>
      <c r="AM338" s="47"/>
      <c r="AN338" s="47"/>
      <c r="AO338" s="47"/>
      <c r="AP338" s="47"/>
      <c r="AQ338" s="47"/>
      <c r="AR338" s="47"/>
      <c r="AS338" s="47"/>
      <c r="AT338" s="47"/>
      <c r="AU338" s="47"/>
      <c r="AV338" s="47"/>
      <c r="AW338" s="47"/>
      <c r="AX338" s="47"/>
      <c r="AY338" s="47"/>
      <c r="AZ338" s="47"/>
      <c r="BA338" s="47"/>
      <c r="BB338" s="47"/>
      <c r="BC338" s="47"/>
      <c r="BD338" s="47"/>
      <c r="BE338" s="47"/>
      <c r="BF338" s="47"/>
      <c r="BG338" s="47"/>
      <c r="BH338" s="47"/>
      <c r="BI338" s="47"/>
      <c r="BJ338" s="47"/>
      <c r="BK338" s="47"/>
      <c r="BL338" s="47"/>
      <c r="BM338" s="47"/>
      <c r="BN338" s="47"/>
      <c r="BO338" s="47"/>
      <c r="BP338" s="47"/>
      <c r="BQ338" s="47"/>
      <c r="BR338" s="47"/>
      <c r="BS338" s="47"/>
      <c r="BT338" s="47"/>
      <c r="BU338" s="47"/>
      <c r="BV338" s="47"/>
      <c r="BW338" s="47"/>
    </row>
    <row r="339" ht="21.0" customHeight="1">
      <c r="A339" s="43"/>
      <c r="B339" s="30" t="s">
        <v>310</v>
      </c>
      <c r="C339" s="26">
        <f>vlookup(B339,'재고 백업'!$A:$B,2,0)</f>
        <v>81</v>
      </c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  <c r="AG339" s="47"/>
      <c r="AH339" s="47"/>
      <c r="AI339" s="47"/>
      <c r="AJ339" s="47"/>
      <c r="AK339" s="47"/>
      <c r="AL339" s="47"/>
      <c r="AM339" s="47"/>
      <c r="AN339" s="47"/>
      <c r="AO339" s="47"/>
      <c r="AP339" s="47"/>
      <c r="AQ339" s="47"/>
      <c r="AR339" s="47"/>
      <c r="AS339" s="47"/>
      <c r="AT339" s="47"/>
      <c r="AU339" s="47"/>
      <c r="AV339" s="47"/>
      <c r="AW339" s="47"/>
      <c r="AX339" s="47"/>
      <c r="AY339" s="47"/>
      <c r="AZ339" s="47"/>
      <c r="BA339" s="47"/>
      <c r="BB339" s="47"/>
      <c r="BC339" s="47"/>
      <c r="BD339" s="47"/>
      <c r="BE339" s="47"/>
      <c r="BF339" s="47"/>
      <c r="BG339" s="47"/>
      <c r="BH339" s="47"/>
      <c r="BI339" s="47"/>
      <c r="BJ339" s="47"/>
      <c r="BK339" s="47"/>
      <c r="BL339" s="47"/>
      <c r="BM339" s="47"/>
      <c r="BN339" s="47"/>
      <c r="BO339" s="47"/>
      <c r="BP339" s="47"/>
      <c r="BQ339" s="47"/>
      <c r="BR339" s="47"/>
      <c r="BS339" s="47"/>
      <c r="BT339" s="47"/>
      <c r="BU339" s="47"/>
      <c r="BV339" s="47"/>
      <c r="BW339" s="47"/>
    </row>
    <row r="340" ht="21.0" customHeight="1">
      <c r="A340" s="43"/>
      <c r="B340" s="30" t="s">
        <v>311</v>
      </c>
      <c r="C340" s="26">
        <f>vlookup(B340,'재고 백업'!$A:$B,2,0)</f>
        <v>992</v>
      </c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  <c r="AG340" s="47"/>
      <c r="AH340" s="47"/>
      <c r="AI340" s="47"/>
      <c r="AJ340" s="47"/>
      <c r="AK340" s="47"/>
      <c r="AL340" s="47"/>
      <c r="AM340" s="47"/>
      <c r="AN340" s="47"/>
      <c r="AO340" s="47"/>
      <c r="AP340" s="47"/>
      <c r="AQ340" s="47"/>
      <c r="AR340" s="47"/>
      <c r="AS340" s="47"/>
      <c r="AT340" s="47"/>
      <c r="AU340" s="47"/>
      <c r="AV340" s="47"/>
      <c r="AW340" s="47"/>
      <c r="AX340" s="47"/>
      <c r="AY340" s="47"/>
      <c r="AZ340" s="47"/>
      <c r="BA340" s="47"/>
      <c r="BB340" s="47"/>
      <c r="BC340" s="47"/>
      <c r="BD340" s="47"/>
      <c r="BE340" s="47"/>
      <c r="BF340" s="47"/>
      <c r="BG340" s="47"/>
      <c r="BH340" s="47"/>
      <c r="BI340" s="47"/>
      <c r="BJ340" s="47"/>
      <c r="BK340" s="47"/>
      <c r="BL340" s="47"/>
      <c r="BM340" s="47"/>
      <c r="BN340" s="47"/>
      <c r="BO340" s="47"/>
      <c r="BP340" s="47"/>
      <c r="BQ340" s="47"/>
      <c r="BR340" s="47"/>
      <c r="BS340" s="47"/>
      <c r="BT340" s="47"/>
      <c r="BU340" s="47"/>
      <c r="BV340" s="47"/>
      <c r="BW340" s="47"/>
    </row>
    <row r="341" ht="21.0" customHeight="1">
      <c r="A341" s="43"/>
      <c r="B341" s="30" t="s">
        <v>312</v>
      </c>
      <c r="C341" s="26">
        <f>vlookup(B341,'재고 백업'!$A:$B,2,0)</f>
        <v>456</v>
      </c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  <c r="AG341" s="47"/>
      <c r="AH341" s="47"/>
      <c r="AI341" s="47"/>
      <c r="AJ341" s="47"/>
      <c r="AK341" s="47"/>
      <c r="AL341" s="47"/>
      <c r="AM341" s="47"/>
      <c r="AN341" s="47"/>
      <c r="AO341" s="47"/>
      <c r="AP341" s="47"/>
      <c r="AQ341" s="47"/>
      <c r="AR341" s="47"/>
      <c r="AS341" s="47"/>
      <c r="AT341" s="47"/>
      <c r="AU341" s="47"/>
      <c r="AV341" s="47"/>
      <c r="AW341" s="47"/>
      <c r="AX341" s="47"/>
      <c r="AY341" s="47"/>
      <c r="AZ341" s="47"/>
      <c r="BA341" s="47"/>
      <c r="BB341" s="47"/>
      <c r="BC341" s="47"/>
      <c r="BD341" s="47"/>
      <c r="BE341" s="47"/>
      <c r="BF341" s="47"/>
      <c r="BG341" s="47"/>
      <c r="BH341" s="47"/>
      <c r="BI341" s="47"/>
      <c r="BJ341" s="47"/>
      <c r="BK341" s="47"/>
      <c r="BL341" s="47"/>
      <c r="BM341" s="47"/>
      <c r="BN341" s="47"/>
      <c r="BO341" s="47"/>
      <c r="BP341" s="47"/>
      <c r="BQ341" s="47"/>
      <c r="BR341" s="47"/>
      <c r="BS341" s="47"/>
      <c r="BT341" s="47"/>
      <c r="BU341" s="47"/>
      <c r="BV341" s="47"/>
      <c r="BW341" s="47"/>
    </row>
    <row r="342" ht="21.0" customHeight="1">
      <c r="A342" s="43"/>
      <c r="B342" s="30" t="s">
        <v>313</v>
      </c>
      <c r="C342" s="26">
        <f>vlookup(B342,'재고 백업'!$A:$B,2,0)</f>
        <v>128</v>
      </c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  <c r="AG342" s="47"/>
      <c r="AH342" s="47"/>
      <c r="AI342" s="47"/>
      <c r="AJ342" s="47"/>
      <c r="AK342" s="47"/>
      <c r="AL342" s="47"/>
      <c r="AM342" s="47"/>
      <c r="AN342" s="47"/>
      <c r="AO342" s="47"/>
      <c r="AP342" s="47"/>
      <c r="AQ342" s="47"/>
      <c r="AR342" s="47"/>
      <c r="AS342" s="47"/>
      <c r="AT342" s="47"/>
      <c r="AU342" s="47"/>
      <c r="AV342" s="47"/>
      <c r="AW342" s="47"/>
      <c r="AX342" s="47"/>
      <c r="AY342" s="47"/>
      <c r="AZ342" s="47"/>
      <c r="BA342" s="47"/>
      <c r="BB342" s="47"/>
      <c r="BC342" s="47"/>
      <c r="BD342" s="47"/>
      <c r="BE342" s="47"/>
      <c r="BF342" s="47"/>
      <c r="BG342" s="47"/>
      <c r="BH342" s="47"/>
      <c r="BI342" s="47"/>
      <c r="BJ342" s="47"/>
      <c r="BK342" s="47"/>
      <c r="BL342" s="47"/>
      <c r="BM342" s="47"/>
      <c r="BN342" s="47"/>
      <c r="BO342" s="47"/>
      <c r="BP342" s="47"/>
      <c r="BQ342" s="47"/>
      <c r="BR342" s="47"/>
      <c r="BS342" s="47"/>
      <c r="BT342" s="47"/>
      <c r="BU342" s="47"/>
      <c r="BV342" s="47"/>
      <c r="BW342" s="47"/>
    </row>
    <row r="343" ht="21.0" customHeight="1">
      <c r="A343" s="43"/>
      <c r="B343" s="30" t="s">
        <v>314</v>
      </c>
      <c r="C343" s="26">
        <f>vlookup(B343,'재고 백업'!$A:$B,2,0)</f>
        <v>43</v>
      </c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  <c r="AG343" s="47"/>
      <c r="AH343" s="47"/>
      <c r="AI343" s="47"/>
      <c r="AJ343" s="47"/>
      <c r="AK343" s="47"/>
      <c r="AL343" s="47"/>
      <c r="AM343" s="47"/>
      <c r="AN343" s="47"/>
      <c r="AO343" s="47"/>
      <c r="AP343" s="47"/>
      <c r="AQ343" s="47"/>
      <c r="AR343" s="47"/>
      <c r="AS343" s="47"/>
      <c r="AT343" s="47"/>
      <c r="AU343" s="47"/>
      <c r="AV343" s="47"/>
      <c r="AW343" s="47"/>
      <c r="AX343" s="47"/>
      <c r="AY343" s="47"/>
      <c r="AZ343" s="47"/>
      <c r="BA343" s="47"/>
      <c r="BB343" s="47"/>
      <c r="BC343" s="47"/>
      <c r="BD343" s="47"/>
      <c r="BE343" s="47"/>
      <c r="BF343" s="47"/>
      <c r="BG343" s="47"/>
      <c r="BH343" s="47"/>
      <c r="BI343" s="47"/>
      <c r="BJ343" s="47"/>
      <c r="BK343" s="47"/>
      <c r="BL343" s="47"/>
      <c r="BM343" s="47"/>
      <c r="BN343" s="47"/>
      <c r="BO343" s="47"/>
      <c r="BP343" s="47"/>
      <c r="BQ343" s="47"/>
      <c r="BR343" s="47"/>
      <c r="BS343" s="47"/>
      <c r="BT343" s="47"/>
      <c r="BU343" s="47"/>
      <c r="BV343" s="47"/>
      <c r="BW343" s="47"/>
    </row>
    <row r="344" ht="21.0" customHeight="1">
      <c r="A344" s="43"/>
      <c r="B344" s="30" t="s">
        <v>315</v>
      </c>
      <c r="C344" s="26">
        <f>vlookup(B344,'재고 백업'!$A:$B,2,0)</f>
        <v>35</v>
      </c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  <c r="AG344" s="47"/>
      <c r="AH344" s="47"/>
      <c r="AI344" s="47"/>
      <c r="AJ344" s="47"/>
      <c r="AK344" s="47"/>
      <c r="AL344" s="47"/>
      <c r="AM344" s="47"/>
      <c r="AN344" s="47"/>
      <c r="AO344" s="47"/>
      <c r="AP344" s="47"/>
      <c r="AQ344" s="47"/>
      <c r="AR344" s="47"/>
      <c r="AS344" s="47"/>
      <c r="AT344" s="47"/>
      <c r="AU344" s="47"/>
      <c r="AV344" s="47"/>
      <c r="AW344" s="47"/>
      <c r="AX344" s="47"/>
      <c r="AY344" s="47"/>
      <c r="AZ344" s="47"/>
      <c r="BA344" s="47"/>
      <c r="BB344" s="47"/>
      <c r="BC344" s="47"/>
      <c r="BD344" s="47"/>
      <c r="BE344" s="47"/>
      <c r="BF344" s="47"/>
      <c r="BG344" s="47"/>
      <c r="BH344" s="47"/>
      <c r="BI344" s="47"/>
      <c r="BJ344" s="47"/>
      <c r="BK344" s="47"/>
      <c r="BL344" s="47"/>
      <c r="BM344" s="47"/>
      <c r="BN344" s="47"/>
      <c r="BO344" s="47"/>
      <c r="BP344" s="47"/>
      <c r="BQ344" s="47"/>
      <c r="BR344" s="47"/>
      <c r="BS344" s="47"/>
      <c r="BT344" s="47"/>
      <c r="BU344" s="47"/>
      <c r="BV344" s="47"/>
      <c r="BW344" s="47"/>
    </row>
    <row r="345" ht="21.0" customHeight="1">
      <c r="A345" s="43"/>
      <c r="B345" s="30" t="s">
        <v>316</v>
      </c>
      <c r="C345" s="26">
        <f>vlookup(B345,'재고 백업'!$A:$B,2,0)</f>
        <v>70</v>
      </c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  <c r="AG345" s="47"/>
      <c r="AH345" s="47"/>
      <c r="AI345" s="47"/>
      <c r="AJ345" s="47"/>
      <c r="AK345" s="47"/>
      <c r="AL345" s="47"/>
      <c r="AM345" s="47"/>
      <c r="AN345" s="47"/>
      <c r="AO345" s="47"/>
      <c r="AP345" s="47"/>
      <c r="AQ345" s="47"/>
      <c r="AR345" s="47"/>
      <c r="AS345" s="47"/>
      <c r="AT345" s="47"/>
      <c r="AU345" s="47"/>
      <c r="AV345" s="47"/>
      <c r="AW345" s="47"/>
      <c r="AX345" s="47"/>
      <c r="AY345" s="47"/>
      <c r="AZ345" s="47"/>
      <c r="BA345" s="47"/>
      <c r="BB345" s="47"/>
      <c r="BC345" s="47"/>
      <c r="BD345" s="47"/>
      <c r="BE345" s="47"/>
      <c r="BF345" s="47"/>
      <c r="BG345" s="47"/>
      <c r="BH345" s="47"/>
      <c r="BI345" s="47"/>
      <c r="BJ345" s="47"/>
      <c r="BK345" s="47"/>
      <c r="BL345" s="47"/>
      <c r="BM345" s="47"/>
      <c r="BN345" s="47"/>
      <c r="BO345" s="47"/>
      <c r="BP345" s="47"/>
      <c r="BQ345" s="47"/>
      <c r="BR345" s="47"/>
      <c r="BS345" s="47"/>
      <c r="BT345" s="47"/>
      <c r="BU345" s="47"/>
      <c r="BV345" s="47"/>
      <c r="BW345" s="47"/>
    </row>
    <row r="346" ht="21.0" customHeight="1">
      <c r="A346" s="43"/>
      <c r="B346" s="30" t="s">
        <v>317</v>
      </c>
      <c r="C346" s="26">
        <f>vlookup(B346,'재고 백업'!$A:$B,2,0)</f>
        <v>448</v>
      </c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  <c r="AG346" s="47"/>
      <c r="AH346" s="47"/>
      <c r="AI346" s="47"/>
      <c r="AJ346" s="47"/>
      <c r="AK346" s="47"/>
      <c r="AL346" s="47"/>
      <c r="AM346" s="47"/>
      <c r="AN346" s="47"/>
      <c r="AO346" s="47"/>
      <c r="AP346" s="47"/>
      <c r="AQ346" s="47"/>
      <c r="AR346" s="47"/>
      <c r="AS346" s="47"/>
      <c r="AT346" s="47"/>
      <c r="AU346" s="47"/>
      <c r="AV346" s="47"/>
      <c r="AW346" s="47"/>
      <c r="AX346" s="47"/>
      <c r="AY346" s="47"/>
      <c r="AZ346" s="47"/>
      <c r="BA346" s="47"/>
      <c r="BB346" s="47"/>
      <c r="BC346" s="47"/>
      <c r="BD346" s="47"/>
      <c r="BE346" s="47"/>
      <c r="BF346" s="47"/>
      <c r="BG346" s="47"/>
      <c r="BH346" s="47"/>
      <c r="BI346" s="47"/>
      <c r="BJ346" s="47"/>
      <c r="BK346" s="47"/>
      <c r="BL346" s="47"/>
      <c r="BM346" s="47"/>
      <c r="BN346" s="47"/>
      <c r="BO346" s="47"/>
      <c r="BP346" s="47"/>
      <c r="BQ346" s="47"/>
      <c r="BR346" s="47"/>
      <c r="BS346" s="47"/>
      <c r="BT346" s="47"/>
      <c r="BU346" s="47"/>
      <c r="BV346" s="47"/>
      <c r="BW346" s="47"/>
    </row>
    <row r="347" ht="21.0" customHeight="1">
      <c r="A347" s="43"/>
      <c r="B347" s="30" t="s">
        <v>318</v>
      </c>
      <c r="C347" s="26">
        <f>vlookup(B347,'재고 백업'!$A:$B,2,0)</f>
        <v>86</v>
      </c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  <c r="AG347" s="47"/>
      <c r="AH347" s="47"/>
      <c r="AI347" s="47"/>
      <c r="AJ347" s="47"/>
      <c r="AK347" s="47"/>
      <c r="AL347" s="47"/>
      <c r="AM347" s="47"/>
      <c r="AN347" s="47"/>
      <c r="AO347" s="47"/>
      <c r="AP347" s="47"/>
      <c r="AQ347" s="47"/>
      <c r="AR347" s="47"/>
      <c r="AS347" s="47"/>
      <c r="AT347" s="47"/>
      <c r="AU347" s="47"/>
      <c r="AV347" s="47"/>
      <c r="AW347" s="47"/>
      <c r="AX347" s="47"/>
      <c r="AY347" s="47"/>
      <c r="AZ347" s="47"/>
      <c r="BA347" s="47"/>
      <c r="BB347" s="47"/>
      <c r="BC347" s="47"/>
      <c r="BD347" s="47"/>
      <c r="BE347" s="47"/>
      <c r="BF347" s="47"/>
      <c r="BG347" s="47"/>
      <c r="BH347" s="47"/>
      <c r="BI347" s="47"/>
      <c r="BJ347" s="47"/>
      <c r="BK347" s="47"/>
      <c r="BL347" s="47"/>
      <c r="BM347" s="47"/>
      <c r="BN347" s="47"/>
      <c r="BO347" s="47"/>
      <c r="BP347" s="47"/>
      <c r="BQ347" s="47"/>
      <c r="BR347" s="47"/>
      <c r="BS347" s="47"/>
      <c r="BT347" s="47"/>
      <c r="BU347" s="47"/>
      <c r="BV347" s="47"/>
      <c r="BW347" s="47"/>
    </row>
    <row r="348" ht="21.0" customHeight="1">
      <c r="A348" s="43"/>
      <c r="B348" s="30" t="s">
        <v>319</v>
      </c>
      <c r="C348" s="21" t="str">
        <f>vlookup(B348,'재고 백업'!$A:$B,2,0)</f>
        <v>#N/A</v>
      </c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  <c r="AG348" s="47"/>
      <c r="AH348" s="47"/>
      <c r="AI348" s="47"/>
      <c r="AJ348" s="47"/>
      <c r="AK348" s="47"/>
      <c r="AL348" s="47"/>
      <c r="AM348" s="47"/>
      <c r="AN348" s="47"/>
      <c r="AO348" s="47"/>
      <c r="AP348" s="47"/>
      <c r="AQ348" s="47"/>
      <c r="AR348" s="47"/>
      <c r="AS348" s="47"/>
      <c r="AT348" s="47"/>
      <c r="AU348" s="47"/>
      <c r="AV348" s="47"/>
      <c r="AW348" s="47"/>
      <c r="AX348" s="47"/>
      <c r="AY348" s="47"/>
      <c r="AZ348" s="47"/>
      <c r="BA348" s="47"/>
      <c r="BB348" s="47"/>
      <c r="BC348" s="47"/>
      <c r="BD348" s="47"/>
      <c r="BE348" s="47"/>
      <c r="BF348" s="47"/>
      <c r="BG348" s="47"/>
      <c r="BH348" s="47"/>
      <c r="BI348" s="47"/>
      <c r="BJ348" s="47"/>
      <c r="BK348" s="47"/>
      <c r="BL348" s="47"/>
      <c r="BM348" s="47"/>
      <c r="BN348" s="47"/>
      <c r="BO348" s="47"/>
      <c r="BP348" s="47"/>
      <c r="BQ348" s="47"/>
      <c r="BR348" s="47"/>
      <c r="BS348" s="47"/>
      <c r="BT348" s="47"/>
      <c r="BU348" s="47"/>
      <c r="BV348" s="47"/>
      <c r="BW348" s="47"/>
    </row>
    <row r="349" ht="21.0" customHeight="1">
      <c r="A349" s="43"/>
      <c r="B349" s="30" t="s">
        <v>320</v>
      </c>
      <c r="C349" s="26">
        <f>vlookup(B349,'재고 백업'!$A:$B,2,0)</f>
        <v>826</v>
      </c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  <c r="AG349" s="47"/>
      <c r="AH349" s="47"/>
      <c r="AI349" s="47"/>
      <c r="AJ349" s="47"/>
      <c r="AK349" s="47"/>
      <c r="AL349" s="47"/>
      <c r="AM349" s="47"/>
      <c r="AN349" s="47"/>
      <c r="AO349" s="47"/>
      <c r="AP349" s="47"/>
      <c r="AQ349" s="47"/>
      <c r="AR349" s="47"/>
      <c r="AS349" s="47"/>
      <c r="AT349" s="47"/>
      <c r="AU349" s="47"/>
      <c r="AV349" s="47"/>
      <c r="AW349" s="47"/>
      <c r="AX349" s="47"/>
      <c r="AY349" s="47"/>
      <c r="AZ349" s="47"/>
      <c r="BA349" s="47"/>
      <c r="BB349" s="47"/>
      <c r="BC349" s="47"/>
      <c r="BD349" s="47"/>
      <c r="BE349" s="47"/>
      <c r="BF349" s="47"/>
      <c r="BG349" s="47"/>
      <c r="BH349" s="47"/>
      <c r="BI349" s="47"/>
      <c r="BJ349" s="47"/>
      <c r="BK349" s="47"/>
      <c r="BL349" s="47"/>
      <c r="BM349" s="47"/>
      <c r="BN349" s="47"/>
      <c r="BO349" s="47"/>
      <c r="BP349" s="47"/>
      <c r="BQ349" s="47"/>
      <c r="BR349" s="47"/>
      <c r="BS349" s="47"/>
      <c r="BT349" s="47"/>
      <c r="BU349" s="47"/>
      <c r="BV349" s="47"/>
      <c r="BW349" s="47"/>
    </row>
    <row r="350" ht="21.0" customHeight="1">
      <c r="A350" s="43"/>
      <c r="B350" s="30" t="s">
        <v>321</v>
      </c>
      <c r="C350" s="26">
        <f>vlookup(B350,'재고 백업'!$A:$B,2,0)</f>
        <v>4</v>
      </c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  <c r="AG350" s="47"/>
      <c r="AH350" s="47"/>
      <c r="AI350" s="47"/>
      <c r="AJ350" s="47"/>
      <c r="AK350" s="47"/>
      <c r="AL350" s="47"/>
      <c r="AM350" s="47"/>
      <c r="AN350" s="47"/>
      <c r="AO350" s="47"/>
      <c r="AP350" s="47"/>
      <c r="AQ350" s="47"/>
      <c r="AR350" s="47"/>
      <c r="AS350" s="47"/>
      <c r="AT350" s="47"/>
      <c r="AU350" s="47"/>
      <c r="AV350" s="47"/>
      <c r="AW350" s="47"/>
      <c r="AX350" s="47"/>
      <c r="AY350" s="47"/>
      <c r="AZ350" s="47"/>
      <c r="BA350" s="47"/>
      <c r="BB350" s="47"/>
      <c r="BC350" s="47"/>
      <c r="BD350" s="47"/>
      <c r="BE350" s="47"/>
      <c r="BF350" s="47"/>
      <c r="BG350" s="47"/>
      <c r="BH350" s="47"/>
      <c r="BI350" s="47"/>
      <c r="BJ350" s="47"/>
      <c r="BK350" s="47"/>
      <c r="BL350" s="47"/>
      <c r="BM350" s="47"/>
      <c r="BN350" s="47"/>
      <c r="BO350" s="47"/>
      <c r="BP350" s="47"/>
      <c r="BQ350" s="47"/>
      <c r="BR350" s="47"/>
      <c r="BS350" s="47"/>
      <c r="BT350" s="47"/>
      <c r="BU350" s="47"/>
      <c r="BV350" s="47"/>
      <c r="BW350" s="47"/>
    </row>
    <row r="351" ht="21.0" customHeight="1">
      <c r="A351" s="43"/>
      <c r="B351" s="30" t="s">
        <v>322</v>
      </c>
      <c r="C351" s="26">
        <f>vlookup(B351,'재고 백업'!$A:$B,2,0)</f>
        <v>634</v>
      </c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  <c r="AG351" s="47"/>
      <c r="AH351" s="47"/>
      <c r="AI351" s="47"/>
      <c r="AJ351" s="47"/>
      <c r="AK351" s="47"/>
      <c r="AL351" s="47"/>
      <c r="AM351" s="47"/>
      <c r="AN351" s="47"/>
      <c r="AO351" s="47"/>
      <c r="AP351" s="47"/>
      <c r="AQ351" s="47"/>
      <c r="AR351" s="47"/>
      <c r="AS351" s="47"/>
      <c r="AT351" s="47"/>
      <c r="AU351" s="47"/>
      <c r="AV351" s="47"/>
      <c r="AW351" s="47"/>
      <c r="AX351" s="47"/>
      <c r="AY351" s="47"/>
      <c r="AZ351" s="47"/>
      <c r="BA351" s="47"/>
      <c r="BB351" s="47"/>
      <c r="BC351" s="47"/>
      <c r="BD351" s="47"/>
      <c r="BE351" s="47"/>
      <c r="BF351" s="47"/>
      <c r="BG351" s="47"/>
      <c r="BH351" s="47"/>
      <c r="BI351" s="47"/>
      <c r="BJ351" s="47"/>
      <c r="BK351" s="47"/>
      <c r="BL351" s="47"/>
      <c r="BM351" s="47"/>
      <c r="BN351" s="47"/>
      <c r="BO351" s="47"/>
      <c r="BP351" s="47"/>
      <c r="BQ351" s="47"/>
      <c r="BR351" s="47"/>
      <c r="BS351" s="47"/>
      <c r="BT351" s="47"/>
      <c r="BU351" s="47"/>
      <c r="BV351" s="47"/>
      <c r="BW351" s="47"/>
    </row>
    <row r="352" ht="21.0" customHeight="1">
      <c r="A352" s="43"/>
      <c r="B352" s="30" t="s">
        <v>323</v>
      </c>
      <c r="C352" s="26">
        <f>vlookup(B352,'재고 백업'!$A:$B,2,0)</f>
        <v>14</v>
      </c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  <c r="AG352" s="47"/>
      <c r="AH352" s="47"/>
      <c r="AI352" s="47"/>
      <c r="AJ352" s="47"/>
      <c r="AK352" s="47"/>
      <c r="AL352" s="47"/>
      <c r="AM352" s="47"/>
      <c r="AN352" s="47"/>
      <c r="AO352" s="47"/>
      <c r="AP352" s="47"/>
      <c r="AQ352" s="47"/>
      <c r="AR352" s="47"/>
      <c r="AS352" s="47"/>
      <c r="AT352" s="47"/>
      <c r="AU352" s="47"/>
      <c r="AV352" s="47"/>
      <c r="AW352" s="47"/>
      <c r="AX352" s="47"/>
      <c r="AY352" s="47"/>
      <c r="AZ352" s="47"/>
      <c r="BA352" s="47"/>
      <c r="BB352" s="47"/>
      <c r="BC352" s="47"/>
      <c r="BD352" s="47"/>
      <c r="BE352" s="47"/>
      <c r="BF352" s="47"/>
      <c r="BG352" s="47"/>
      <c r="BH352" s="47"/>
      <c r="BI352" s="47"/>
      <c r="BJ352" s="47"/>
      <c r="BK352" s="47"/>
      <c r="BL352" s="47"/>
      <c r="BM352" s="47"/>
      <c r="BN352" s="47"/>
      <c r="BO352" s="47"/>
      <c r="BP352" s="47"/>
      <c r="BQ352" s="47"/>
      <c r="BR352" s="47"/>
      <c r="BS352" s="47"/>
      <c r="BT352" s="47"/>
      <c r="BU352" s="47"/>
      <c r="BV352" s="47"/>
      <c r="BW352" s="47"/>
    </row>
    <row r="353" ht="21.0" customHeight="1">
      <c r="A353" s="43"/>
      <c r="B353" s="30" t="s">
        <v>324</v>
      </c>
      <c r="C353" s="26">
        <f>vlookup(B353,'재고 백업'!$A:$B,2,0)</f>
        <v>187</v>
      </c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  <c r="AG353" s="47"/>
      <c r="AH353" s="47"/>
      <c r="AI353" s="47"/>
      <c r="AJ353" s="47"/>
      <c r="AK353" s="47"/>
      <c r="AL353" s="47"/>
      <c r="AM353" s="47"/>
      <c r="AN353" s="47"/>
      <c r="AO353" s="47"/>
      <c r="AP353" s="47"/>
      <c r="AQ353" s="47"/>
      <c r="AR353" s="47"/>
      <c r="AS353" s="47"/>
      <c r="AT353" s="47"/>
      <c r="AU353" s="47"/>
      <c r="AV353" s="47"/>
      <c r="AW353" s="47"/>
      <c r="AX353" s="47"/>
      <c r="AY353" s="47"/>
      <c r="AZ353" s="47"/>
      <c r="BA353" s="47"/>
      <c r="BB353" s="47"/>
      <c r="BC353" s="47"/>
      <c r="BD353" s="47"/>
      <c r="BE353" s="47"/>
      <c r="BF353" s="47"/>
      <c r="BG353" s="47"/>
      <c r="BH353" s="47"/>
      <c r="BI353" s="47"/>
      <c r="BJ353" s="47"/>
      <c r="BK353" s="47"/>
      <c r="BL353" s="47"/>
      <c r="BM353" s="47"/>
      <c r="BN353" s="47"/>
      <c r="BO353" s="47"/>
      <c r="BP353" s="47"/>
      <c r="BQ353" s="47"/>
      <c r="BR353" s="47"/>
      <c r="BS353" s="47"/>
      <c r="BT353" s="47"/>
      <c r="BU353" s="47"/>
      <c r="BV353" s="47"/>
      <c r="BW353" s="47"/>
    </row>
    <row r="354" ht="21.0" customHeight="1">
      <c r="A354" s="43"/>
      <c r="B354" s="30" t="s">
        <v>325</v>
      </c>
      <c r="C354" s="26" t="str">
        <f>vlookup(B354,'재고 백업'!$A:$B,2,0)</f>
        <v>-</v>
      </c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  <c r="AG354" s="47"/>
      <c r="AH354" s="47"/>
      <c r="AI354" s="47"/>
      <c r="AJ354" s="47"/>
      <c r="AK354" s="47"/>
      <c r="AL354" s="47"/>
      <c r="AM354" s="47"/>
      <c r="AN354" s="47"/>
      <c r="AO354" s="47"/>
      <c r="AP354" s="47"/>
      <c r="AQ354" s="47"/>
      <c r="AR354" s="47"/>
      <c r="AS354" s="47"/>
      <c r="AT354" s="47"/>
      <c r="AU354" s="47"/>
      <c r="AV354" s="47"/>
      <c r="AW354" s="47"/>
      <c r="AX354" s="47"/>
      <c r="AY354" s="47"/>
      <c r="AZ354" s="47"/>
      <c r="BA354" s="47"/>
      <c r="BB354" s="47"/>
      <c r="BC354" s="47"/>
      <c r="BD354" s="47"/>
      <c r="BE354" s="47"/>
      <c r="BF354" s="47"/>
      <c r="BG354" s="47"/>
      <c r="BH354" s="47"/>
      <c r="BI354" s="47"/>
      <c r="BJ354" s="47"/>
      <c r="BK354" s="47"/>
      <c r="BL354" s="47"/>
      <c r="BM354" s="47"/>
      <c r="BN354" s="47"/>
      <c r="BO354" s="47"/>
      <c r="BP354" s="47"/>
      <c r="BQ354" s="47"/>
      <c r="BR354" s="47"/>
      <c r="BS354" s="47"/>
      <c r="BT354" s="47"/>
      <c r="BU354" s="47"/>
      <c r="BV354" s="47"/>
      <c r="BW354" s="47"/>
    </row>
    <row r="355" ht="21.0" customHeight="1">
      <c r="A355" s="43"/>
      <c r="B355" s="30" t="s">
        <v>326</v>
      </c>
      <c r="C355" s="26">
        <f>vlookup(B355,'재고 백업'!$A:$B,2,0)</f>
        <v>3</v>
      </c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  <c r="AG355" s="47"/>
      <c r="AH355" s="47"/>
      <c r="AI355" s="47"/>
      <c r="AJ355" s="47"/>
      <c r="AK355" s="47"/>
      <c r="AL355" s="47"/>
      <c r="AM355" s="47"/>
      <c r="AN355" s="47"/>
      <c r="AO355" s="47"/>
      <c r="AP355" s="47"/>
      <c r="AQ355" s="47"/>
      <c r="AR355" s="47"/>
      <c r="AS355" s="47"/>
      <c r="AT355" s="47"/>
      <c r="AU355" s="47"/>
      <c r="AV355" s="47"/>
      <c r="AW355" s="47"/>
      <c r="AX355" s="47"/>
      <c r="AY355" s="47"/>
      <c r="AZ355" s="47"/>
      <c r="BA355" s="47"/>
      <c r="BB355" s="47"/>
      <c r="BC355" s="47"/>
      <c r="BD355" s="47"/>
      <c r="BE355" s="47"/>
      <c r="BF355" s="47"/>
      <c r="BG355" s="47"/>
      <c r="BH355" s="47"/>
      <c r="BI355" s="47"/>
      <c r="BJ355" s="47"/>
      <c r="BK355" s="47"/>
      <c r="BL355" s="47"/>
      <c r="BM355" s="47"/>
      <c r="BN355" s="47"/>
      <c r="BO355" s="47"/>
      <c r="BP355" s="47"/>
      <c r="BQ355" s="47"/>
      <c r="BR355" s="47"/>
      <c r="BS355" s="47"/>
      <c r="BT355" s="47"/>
      <c r="BU355" s="47"/>
      <c r="BV355" s="47"/>
      <c r="BW355" s="47"/>
    </row>
    <row r="356" ht="21.0" customHeight="1">
      <c r="A356" s="43"/>
      <c r="B356" s="30" t="s">
        <v>327</v>
      </c>
      <c r="C356" s="26">
        <f>vlookup(B356,'재고 백업'!$A:$B,2,0)</f>
        <v>244</v>
      </c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  <c r="AG356" s="47"/>
      <c r="AH356" s="47"/>
      <c r="AI356" s="47"/>
      <c r="AJ356" s="47"/>
      <c r="AK356" s="47"/>
      <c r="AL356" s="47"/>
      <c r="AM356" s="47"/>
      <c r="AN356" s="47"/>
      <c r="AO356" s="47"/>
      <c r="AP356" s="47"/>
      <c r="AQ356" s="47"/>
      <c r="AR356" s="47"/>
      <c r="AS356" s="47"/>
      <c r="AT356" s="47"/>
      <c r="AU356" s="47"/>
      <c r="AV356" s="47"/>
      <c r="AW356" s="47"/>
      <c r="AX356" s="47"/>
      <c r="AY356" s="47"/>
      <c r="AZ356" s="47"/>
      <c r="BA356" s="47"/>
      <c r="BB356" s="47"/>
      <c r="BC356" s="47"/>
      <c r="BD356" s="47"/>
      <c r="BE356" s="47"/>
      <c r="BF356" s="47"/>
      <c r="BG356" s="47"/>
      <c r="BH356" s="47"/>
      <c r="BI356" s="47"/>
      <c r="BJ356" s="47"/>
      <c r="BK356" s="47"/>
      <c r="BL356" s="47"/>
      <c r="BM356" s="47"/>
      <c r="BN356" s="47"/>
      <c r="BO356" s="47"/>
      <c r="BP356" s="47"/>
      <c r="BQ356" s="47"/>
      <c r="BR356" s="47"/>
      <c r="BS356" s="47"/>
      <c r="BT356" s="47"/>
      <c r="BU356" s="47"/>
      <c r="BV356" s="47"/>
      <c r="BW356" s="47"/>
    </row>
    <row r="357" ht="21.0" customHeight="1">
      <c r="A357" s="43"/>
      <c r="B357" s="30" t="s">
        <v>328</v>
      </c>
      <c r="C357" s="26">
        <f>vlookup(B357,'재고 백업'!$A:$B,2,0)</f>
        <v>37</v>
      </c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  <c r="AG357" s="47"/>
      <c r="AH357" s="47"/>
      <c r="AI357" s="47"/>
      <c r="AJ357" s="47"/>
      <c r="AK357" s="47"/>
      <c r="AL357" s="47"/>
      <c r="AM357" s="47"/>
      <c r="AN357" s="47"/>
      <c r="AO357" s="47"/>
      <c r="AP357" s="47"/>
      <c r="AQ357" s="47"/>
      <c r="AR357" s="47"/>
      <c r="AS357" s="47"/>
      <c r="AT357" s="47"/>
      <c r="AU357" s="47"/>
      <c r="AV357" s="47"/>
      <c r="AW357" s="47"/>
      <c r="AX357" s="47"/>
      <c r="AY357" s="47"/>
      <c r="AZ357" s="47"/>
      <c r="BA357" s="47"/>
      <c r="BB357" s="47"/>
      <c r="BC357" s="47"/>
      <c r="BD357" s="47"/>
      <c r="BE357" s="47"/>
      <c r="BF357" s="47"/>
      <c r="BG357" s="47"/>
      <c r="BH357" s="47"/>
      <c r="BI357" s="47"/>
      <c r="BJ357" s="47"/>
      <c r="BK357" s="47"/>
      <c r="BL357" s="47"/>
      <c r="BM357" s="47"/>
      <c r="BN357" s="47"/>
      <c r="BO357" s="47"/>
      <c r="BP357" s="47"/>
      <c r="BQ357" s="47"/>
      <c r="BR357" s="47"/>
      <c r="BS357" s="47"/>
      <c r="BT357" s="47"/>
      <c r="BU357" s="47"/>
      <c r="BV357" s="47"/>
      <c r="BW357" s="47"/>
    </row>
    <row r="358" ht="21.0" customHeight="1">
      <c r="A358" s="43"/>
      <c r="B358" s="30" t="s">
        <v>329</v>
      </c>
      <c r="C358" s="26">
        <f>vlookup(B358,'재고 백업'!$A:$B,2,0)</f>
        <v>120</v>
      </c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  <c r="AG358" s="47"/>
      <c r="AH358" s="47"/>
      <c r="AI358" s="47"/>
      <c r="AJ358" s="47"/>
      <c r="AK358" s="47"/>
      <c r="AL358" s="47"/>
      <c r="AM358" s="47"/>
      <c r="AN358" s="47"/>
      <c r="AO358" s="47"/>
      <c r="AP358" s="47"/>
      <c r="AQ358" s="47"/>
      <c r="AR358" s="47"/>
      <c r="AS358" s="47"/>
      <c r="AT358" s="47"/>
      <c r="AU358" s="47"/>
      <c r="AV358" s="47"/>
      <c r="AW358" s="47"/>
      <c r="AX358" s="47"/>
      <c r="AY358" s="47"/>
      <c r="AZ358" s="47"/>
      <c r="BA358" s="47"/>
      <c r="BB358" s="47"/>
      <c r="BC358" s="47"/>
      <c r="BD358" s="47"/>
      <c r="BE358" s="47"/>
      <c r="BF358" s="47"/>
      <c r="BG358" s="47"/>
      <c r="BH358" s="47"/>
      <c r="BI358" s="47"/>
      <c r="BJ358" s="47"/>
      <c r="BK358" s="47"/>
      <c r="BL358" s="47"/>
      <c r="BM358" s="47"/>
      <c r="BN358" s="47"/>
      <c r="BO358" s="47"/>
      <c r="BP358" s="47"/>
      <c r="BQ358" s="47"/>
      <c r="BR358" s="47"/>
      <c r="BS358" s="47"/>
      <c r="BT358" s="47"/>
      <c r="BU358" s="47"/>
      <c r="BV358" s="47"/>
      <c r="BW358" s="47"/>
    </row>
    <row r="359" ht="21.0" customHeight="1">
      <c r="A359" s="43"/>
      <c r="B359" s="30" t="s">
        <v>330</v>
      </c>
      <c r="C359" s="26">
        <f>vlookup(B359,'재고 백업'!$A:$B,2,0)</f>
        <v>63</v>
      </c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  <c r="AG359" s="47"/>
      <c r="AH359" s="47"/>
      <c r="AI359" s="47"/>
      <c r="AJ359" s="47"/>
      <c r="AK359" s="47"/>
      <c r="AL359" s="47"/>
      <c r="AM359" s="47"/>
      <c r="AN359" s="47"/>
      <c r="AO359" s="47"/>
      <c r="AP359" s="47"/>
      <c r="AQ359" s="47"/>
      <c r="AR359" s="47"/>
      <c r="AS359" s="47"/>
      <c r="AT359" s="47"/>
      <c r="AU359" s="47"/>
      <c r="AV359" s="47"/>
      <c r="AW359" s="47"/>
      <c r="AX359" s="47"/>
      <c r="AY359" s="47"/>
      <c r="AZ359" s="47"/>
      <c r="BA359" s="47"/>
      <c r="BB359" s="47"/>
      <c r="BC359" s="47"/>
      <c r="BD359" s="47"/>
      <c r="BE359" s="47"/>
      <c r="BF359" s="47"/>
      <c r="BG359" s="47"/>
      <c r="BH359" s="47"/>
      <c r="BI359" s="47"/>
      <c r="BJ359" s="47"/>
      <c r="BK359" s="47"/>
      <c r="BL359" s="47"/>
      <c r="BM359" s="47"/>
      <c r="BN359" s="47"/>
      <c r="BO359" s="47"/>
      <c r="BP359" s="47"/>
      <c r="BQ359" s="47"/>
      <c r="BR359" s="47"/>
      <c r="BS359" s="47"/>
      <c r="BT359" s="47"/>
      <c r="BU359" s="47"/>
      <c r="BV359" s="47"/>
      <c r="BW359" s="47"/>
    </row>
    <row r="360" ht="21.0" customHeight="1">
      <c r="A360" s="43"/>
      <c r="B360" s="30" t="s">
        <v>331</v>
      </c>
      <c r="C360" s="26">
        <f>vlookup(B360,'재고 백업'!$A:$B,2,0)</f>
        <v>36</v>
      </c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  <c r="AG360" s="47"/>
      <c r="AH360" s="47"/>
      <c r="AI360" s="47"/>
      <c r="AJ360" s="47"/>
      <c r="AK360" s="47"/>
      <c r="AL360" s="47"/>
      <c r="AM360" s="47"/>
      <c r="AN360" s="47"/>
      <c r="AO360" s="47"/>
      <c r="AP360" s="47"/>
      <c r="AQ360" s="47"/>
      <c r="AR360" s="47"/>
      <c r="AS360" s="47"/>
      <c r="AT360" s="47"/>
      <c r="AU360" s="47"/>
      <c r="AV360" s="47"/>
      <c r="AW360" s="47"/>
      <c r="AX360" s="47"/>
      <c r="AY360" s="47"/>
      <c r="AZ360" s="47"/>
      <c r="BA360" s="47"/>
      <c r="BB360" s="47"/>
      <c r="BC360" s="47"/>
      <c r="BD360" s="47"/>
      <c r="BE360" s="47"/>
      <c r="BF360" s="47"/>
      <c r="BG360" s="47"/>
      <c r="BH360" s="47"/>
      <c r="BI360" s="47"/>
      <c r="BJ360" s="47"/>
      <c r="BK360" s="47"/>
      <c r="BL360" s="47"/>
      <c r="BM360" s="47"/>
      <c r="BN360" s="47"/>
      <c r="BO360" s="47"/>
      <c r="BP360" s="47"/>
      <c r="BQ360" s="47"/>
      <c r="BR360" s="47"/>
      <c r="BS360" s="47"/>
      <c r="BT360" s="47"/>
      <c r="BU360" s="47"/>
      <c r="BV360" s="47"/>
      <c r="BW360" s="47"/>
    </row>
    <row r="361" ht="21.0" customHeight="1">
      <c r="A361" s="43"/>
      <c r="B361" s="30" t="s">
        <v>332</v>
      </c>
      <c r="C361" s="26">
        <f>vlookup(B361,'재고 백업'!$A:$B,2,0)</f>
        <v>19</v>
      </c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  <c r="AG361" s="47"/>
      <c r="AH361" s="47"/>
      <c r="AI361" s="47"/>
      <c r="AJ361" s="47"/>
      <c r="AK361" s="47"/>
      <c r="AL361" s="47"/>
      <c r="AM361" s="47"/>
      <c r="AN361" s="47"/>
      <c r="AO361" s="47"/>
      <c r="AP361" s="47"/>
      <c r="AQ361" s="47"/>
      <c r="AR361" s="47"/>
      <c r="AS361" s="47"/>
      <c r="AT361" s="47"/>
      <c r="AU361" s="47"/>
      <c r="AV361" s="47"/>
      <c r="AW361" s="47"/>
      <c r="AX361" s="47"/>
      <c r="AY361" s="47"/>
      <c r="AZ361" s="47"/>
      <c r="BA361" s="47"/>
      <c r="BB361" s="47"/>
      <c r="BC361" s="47"/>
      <c r="BD361" s="47"/>
      <c r="BE361" s="47"/>
      <c r="BF361" s="47"/>
      <c r="BG361" s="47"/>
      <c r="BH361" s="47"/>
      <c r="BI361" s="47"/>
      <c r="BJ361" s="47"/>
      <c r="BK361" s="47"/>
      <c r="BL361" s="47"/>
      <c r="BM361" s="47"/>
      <c r="BN361" s="47"/>
      <c r="BO361" s="47"/>
      <c r="BP361" s="47"/>
      <c r="BQ361" s="47"/>
      <c r="BR361" s="47"/>
      <c r="BS361" s="47"/>
      <c r="BT361" s="47"/>
      <c r="BU361" s="47"/>
      <c r="BV361" s="47"/>
      <c r="BW361" s="47"/>
    </row>
    <row r="362" ht="21.0" customHeight="1">
      <c r="A362" s="43"/>
      <c r="B362" s="30" t="s">
        <v>333</v>
      </c>
      <c r="C362" s="26">
        <f>vlookup(B362,'재고 백업'!$A:$B,2,0)</f>
        <v>9</v>
      </c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  <c r="AG362" s="47"/>
      <c r="AH362" s="47"/>
      <c r="AI362" s="47"/>
      <c r="AJ362" s="47"/>
      <c r="AK362" s="47"/>
      <c r="AL362" s="47"/>
      <c r="AM362" s="47"/>
      <c r="AN362" s="47"/>
      <c r="AO362" s="47"/>
      <c r="AP362" s="47"/>
      <c r="AQ362" s="47"/>
      <c r="AR362" s="47"/>
      <c r="AS362" s="47"/>
      <c r="AT362" s="47"/>
      <c r="AU362" s="47"/>
      <c r="AV362" s="47"/>
      <c r="AW362" s="47"/>
      <c r="AX362" s="47"/>
      <c r="AY362" s="47"/>
      <c r="AZ362" s="47"/>
      <c r="BA362" s="47"/>
      <c r="BB362" s="47"/>
      <c r="BC362" s="47"/>
      <c r="BD362" s="47"/>
      <c r="BE362" s="47"/>
      <c r="BF362" s="47"/>
      <c r="BG362" s="47"/>
      <c r="BH362" s="47"/>
      <c r="BI362" s="47"/>
      <c r="BJ362" s="47"/>
      <c r="BK362" s="47"/>
      <c r="BL362" s="47"/>
      <c r="BM362" s="47"/>
      <c r="BN362" s="47"/>
      <c r="BO362" s="47"/>
      <c r="BP362" s="47"/>
      <c r="BQ362" s="47"/>
      <c r="BR362" s="47"/>
      <c r="BS362" s="47"/>
      <c r="BT362" s="47"/>
      <c r="BU362" s="47"/>
      <c r="BV362" s="47"/>
      <c r="BW362" s="47"/>
    </row>
    <row r="363" ht="21.0" customHeight="1">
      <c r="A363" s="43"/>
      <c r="B363" s="30" t="s">
        <v>334</v>
      </c>
      <c r="C363" s="26">
        <f>vlookup(B363,'재고 백업'!$A:$B,2,0)</f>
        <v>23</v>
      </c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  <c r="AG363" s="47"/>
      <c r="AH363" s="47"/>
      <c r="AI363" s="47"/>
      <c r="AJ363" s="47"/>
      <c r="AK363" s="47"/>
      <c r="AL363" s="47"/>
      <c r="AM363" s="47"/>
      <c r="AN363" s="47"/>
      <c r="AO363" s="47"/>
      <c r="AP363" s="47"/>
      <c r="AQ363" s="47"/>
      <c r="AR363" s="47"/>
      <c r="AS363" s="47"/>
      <c r="AT363" s="47"/>
      <c r="AU363" s="47"/>
      <c r="AV363" s="47"/>
      <c r="AW363" s="47"/>
      <c r="AX363" s="47"/>
      <c r="AY363" s="47"/>
      <c r="AZ363" s="47"/>
      <c r="BA363" s="47"/>
      <c r="BB363" s="47"/>
      <c r="BC363" s="47"/>
      <c r="BD363" s="47"/>
      <c r="BE363" s="47"/>
      <c r="BF363" s="47"/>
      <c r="BG363" s="47"/>
      <c r="BH363" s="47"/>
      <c r="BI363" s="47"/>
      <c r="BJ363" s="47"/>
      <c r="BK363" s="47"/>
      <c r="BL363" s="47"/>
      <c r="BM363" s="47"/>
      <c r="BN363" s="47"/>
      <c r="BO363" s="47"/>
      <c r="BP363" s="47"/>
      <c r="BQ363" s="47"/>
      <c r="BR363" s="47"/>
      <c r="BS363" s="47"/>
      <c r="BT363" s="47"/>
      <c r="BU363" s="47"/>
      <c r="BV363" s="47"/>
      <c r="BW363" s="47"/>
    </row>
    <row r="364" ht="21.0" customHeight="1">
      <c r="A364" s="43"/>
      <c r="B364" s="30" t="s">
        <v>335</v>
      </c>
      <c r="C364" s="26" t="str">
        <f>vlookup(B364,'재고 백업'!$A:$B,2,0)</f>
        <v>-</v>
      </c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  <c r="AG364" s="47"/>
      <c r="AH364" s="47"/>
      <c r="AI364" s="47"/>
      <c r="AJ364" s="47"/>
      <c r="AK364" s="47"/>
      <c r="AL364" s="47"/>
      <c r="AM364" s="47"/>
      <c r="AN364" s="47"/>
      <c r="AO364" s="47"/>
      <c r="AP364" s="47"/>
      <c r="AQ364" s="47"/>
      <c r="AR364" s="47"/>
      <c r="AS364" s="47"/>
      <c r="AT364" s="47"/>
      <c r="AU364" s="47"/>
      <c r="AV364" s="47"/>
      <c r="AW364" s="47"/>
      <c r="AX364" s="47"/>
      <c r="AY364" s="47"/>
      <c r="AZ364" s="47"/>
      <c r="BA364" s="47"/>
      <c r="BB364" s="47"/>
      <c r="BC364" s="47"/>
      <c r="BD364" s="47"/>
      <c r="BE364" s="47"/>
      <c r="BF364" s="47"/>
      <c r="BG364" s="47"/>
      <c r="BH364" s="47"/>
      <c r="BI364" s="47"/>
      <c r="BJ364" s="47"/>
      <c r="BK364" s="47"/>
      <c r="BL364" s="47"/>
      <c r="BM364" s="47"/>
      <c r="BN364" s="47"/>
      <c r="BO364" s="47"/>
      <c r="BP364" s="47"/>
      <c r="BQ364" s="47"/>
      <c r="BR364" s="47"/>
      <c r="BS364" s="47"/>
      <c r="BT364" s="47"/>
      <c r="BU364" s="47"/>
      <c r="BV364" s="47"/>
      <c r="BW364" s="47"/>
    </row>
    <row r="365" ht="20.25" customHeight="1">
      <c r="A365" s="43"/>
      <c r="B365" s="30" t="s">
        <v>336</v>
      </c>
      <c r="C365" s="26">
        <f>vlookup(B365,'재고 백업'!$A:$B,2,0)</f>
        <v>452</v>
      </c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  <c r="AG365" s="47"/>
      <c r="AH365" s="47"/>
      <c r="AI365" s="47"/>
      <c r="AJ365" s="47"/>
      <c r="AK365" s="47"/>
      <c r="AL365" s="47"/>
      <c r="AM365" s="47"/>
      <c r="AN365" s="47"/>
      <c r="AO365" s="47"/>
      <c r="AP365" s="47"/>
      <c r="AQ365" s="47"/>
      <c r="AR365" s="47"/>
      <c r="AS365" s="47"/>
      <c r="AT365" s="47"/>
      <c r="AU365" s="47"/>
      <c r="AV365" s="47"/>
      <c r="AW365" s="47"/>
      <c r="AX365" s="47"/>
      <c r="AY365" s="47"/>
      <c r="AZ365" s="47"/>
      <c r="BA365" s="47"/>
      <c r="BB365" s="47"/>
      <c r="BC365" s="47"/>
      <c r="BD365" s="47"/>
      <c r="BE365" s="47"/>
      <c r="BF365" s="47"/>
      <c r="BG365" s="47"/>
      <c r="BH365" s="47"/>
      <c r="BI365" s="47"/>
      <c r="BJ365" s="47"/>
      <c r="BK365" s="47"/>
      <c r="BL365" s="47"/>
      <c r="BM365" s="47"/>
      <c r="BN365" s="47"/>
      <c r="BO365" s="47"/>
      <c r="BP365" s="47"/>
      <c r="BQ365" s="47"/>
      <c r="BR365" s="47"/>
      <c r="BS365" s="47"/>
      <c r="BT365" s="47"/>
      <c r="BU365" s="47"/>
      <c r="BV365" s="47"/>
      <c r="BW365" s="47"/>
    </row>
    <row r="366" ht="21.0" customHeight="1">
      <c r="A366" s="43"/>
      <c r="B366" s="30" t="s">
        <v>337</v>
      </c>
      <c r="C366" s="26">
        <f>vlookup(B366,'재고 백업'!$A:$B,2,0)</f>
        <v>310</v>
      </c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  <c r="AG366" s="47"/>
      <c r="AH366" s="47"/>
      <c r="AI366" s="47"/>
      <c r="AJ366" s="47"/>
      <c r="AK366" s="47"/>
      <c r="AL366" s="47"/>
      <c r="AM366" s="47"/>
      <c r="AN366" s="47"/>
      <c r="AO366" s="47"/>
      <c r="AP366" s="47"/>
      <c r="AQ366" s="47"/>
      <c r="AR366" s="47"/>
      <c r="AS366" s="47"/>
      <c r="AT366" s="47"/>
      <c r="AU366" s="47"/>
      <c r="AV366" s="47"/>
      <c r="AW366" s="47"/>
      <c r="AX366" s="47"/>
      <c r="AY366" s="47"/>
      <c r="AZ366" s="47"/>
      <c r="BA366" s="47"/>
      <c r="BB366" s="47"/>
      <c r="BC366" s="47"/>
      <c r="BD366" s="47"/>
      <c r="BE366" s="47"/>
      <c r="BF366" s="47"/>
      <c r="BG366" s="47"/>
      <c r="BH366" s="47"/>
      <c r="BI366" s="47"/>
      <c r="BJ366" s="47"/>
      <c r="BK366" s="47"/>
      <c r="BL366" s="47"/>
      <c r="BM366" s="47"/>
      <c r="BN366" s="47"/>
      <c r="BO366" s="47"/>
      <c r="BP366" s="47"/>
      <c r="BQ366" s="47"/>
      <c r="BR366" s="47"/>
      <c r="BS366" s="47"/>
      <c r="BT366" s="47"/>
      <c r="BU366" s="47"/>
      <c r="BV366" s="47"/>
      <c r="BW366" s="47"/>
    </row>
    <row r="367" ht="21.0" customHeight="1">
      <c r="A367" s="43"/>
      <c r="B367" s="30" t="s">
        <v>338</v>
      </c>
      <c r="C367" s="26">
        <f>vlookup(B367,'재고 백업'!$A:$B,2,0)</f>
        <v>766</v>
      </c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  <c r="AG367" s="47"/>
      <c r="AH367" s="47"/>
      <c r="AI367" s="47"/>
      <c r="AJ367" s="47"/>
      <c r="AK367" s="47"/>
      <c r="AL367" s="47"/>
      <c r="AM367" s="47"/>
      <c r="AN367" s="47"/>
      <c r="AO367" s="47"/>
      <c r="AP367" s="47"/>
      <c r="AQ367" s="47"/>
      <c r="AR367" s="47"/>
      <c r="AS367" s="47"/>
      <c r="AT367" s="47"/>
      <c r="AU367" s="47"/>
      <c r="AV367" s="47"/>
      <c r="AW367" s="47"/>
      <c r="AX367" s="47"/>
      <c r="AY367" s="47"/>
      <c r="AZ367" s="47"/>
      <c r="BA367" s="47"/>
      <c r="BB367" s="47"/>
      <c r="BC367" s="47"/>
      <c r="BD367" s="47"/>
      <c r="BE367" s="47"/>
      <c r="BF367" s="47"/>
      <c r="BG367" s="47"/>
      <c r="BH367" s="47"/>
      <c r="BI367" s="47"/>
      <c r="BJ367" s="47"/>
      <c r="BK367" s="47"/>
      <c r="BL367" s="47"/>
      <c r="BM367" s="47"/>
      <c r="BN367" s="47"/>
      <c r="BO367" s="47"/>
      <c r="BP367" s="47"/>
      <c r="BQ367" s="47"/>
      <c r="BR367" s="47"/>
      <c r="BS367" s="47"/>
      <c r="BT367" s="47"/>
      <c r="BU367" s="47"/>
      <c r="BV367" s="47"/>
      <c r="BW367" s="47"/>
    </row>
    <row r="368" ht="21.0" customHeight="1">
      <c r="A368" s="43"/>
      <c r="B368" s="30" t="s">
        <v>339</v>
      </c>
      <c r="C368" s="26" t="str">
        <f>vlookup(B368,'재고 백업'!$A:$B,2,0)</f>
        <v>-</v>
      </c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  <c r="AG368" s="47"/>
      <c r="AH368" s="47"/>
      <c r="AI368" s="47"/>
      <c r="AJ368" s="47"/>
      <c r="AK368" s="47"/>
      <c r="AL368" s="47"/>
      <c r="AM368" s="47"/>
      <c r="AN368" s="47"/>
      <c r="AO368" s="47"/>
      <c r="AP368" s="47"/>
      <c r="AQ368" s="47"/>
      <c r="AR368" s="47"/>
      <c r="AS368" s="47"/>
      <c r="AT368" s="47"/>
      <c r="AU368" s="47"/>
      <c r="AV368" s="47"/>
      <c r="AW368" s="47"/>
      <c r="AX368" s="47"/>
      <c r="AY368" s="47"/>
      <c r="AZ368" s="47"/>
      <c r="BA368" s="47"/>
      <c r="BB368" s="47"/>
      <c r="BC368" s="47"/>
      <c r="BD368" s="47"/>
      <c r="BE368" s="47"/>
      <c r="BF368" s="47"/>
      <c r="BG368" s="47"/>
      <c r="BH368" s="47"/>
      <c r="BI368" s="47"/>
      <c r="BJ368" s="47"/>
      <c r="BK368" s="47"/>
      <c r="BL368" s="47"/>
      <c r="BM368" s="47"/>
      <c r="BN368" s="47"/>
      <c r="BO368" s="47"/>
      <c r="BP368" s="47"/>
      <c r="BQ368" s="47"/>
      <c r="BR368" s="47"/>
      <c r="BS368" s="47"/>
      <c r="BT368" s="47"/>
      <c r="BU368" s="47"/>
      <c r="BV368" s="47"/>
      <c r="BW368" s="47"/>
    </row>
    <row r="369" ht="21.0" customHeight="1">
      <c r="A369" s="43"/>
      <c r="B369" s="30" t="s">
        <v>340</v>
      </c>
      <c r="C369" s="26" t="str">
        <f>vlookup(B369,'재고 백업'!$A:$B,2,0)</f>
        <v>-</v>
      </c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  <c r="AG369" s="47"/>
      <c r="AH369" s="47"/>
      <c r="AI369" s="47"/>
      <c r="AJ369" s="47"/>
      <c r="AK369" s="47"/>
      <c r="AL369" s="47"/>
      <c r="AM369" s="47"/>
      <c r="AN369" s="47"/>
      <c r="AO369" s="47"/>
      <c r="AP369" s="47"/>
      <c r="AQ369" s="47"/>
      <c r="AR369" s="47"/>
      <c r="AS369" s="47"/>
      <c r="AT369" s="47"/>
      <c r="AU369" s="47"/>
      <c r="AV369" s="47"/>
      <c r="AW369" s="47"/>
      <c r="AX369" s="47"/>
      <c r="AY369" s="47"/>
      <c r="AZ369" s="47"/>
      <c r="BA369" s="47"/>
      <c r="BB369" s="47"/>
      <c r="BC369" s="47"/>
      <c r="BD369" s="47"/>
      <c r="BE369" s="47"/>
      <c r="BF369" s="47"/>
      <c r="BG369" s="47"/>
      <c r="BH369" s="47"/>
      <c r="BI369" s="47"/>
      <c r="BJ369" s="47"/>
      <c r="BK369" s="47"/>
      <c r="BL369" s="47"/>
      <c r="BM369" s="47"/>
      <c r="BN369" s="47"/>
      <c r="BO369" s="47"/>
      <c r="BP369" s="47"/>
      <c r="BQ369" s="47"/>
      <c r="BR369" s="47"/>
      <c r="BS369" s="47"/>
      <c r="BT369" s="47"/>
      <c r="BU369" s="47"/>
      <c r="BV369" s="47"/>
      <c r="BW369" s="47"/>
    </row>
    <row r="370" ht="21.0" customHeight="1">
      <c r="A370" s="43"/>
      <c r="B370" s="30" t="s">
        <v>341</v>
      </c>
      <c r="C370" s="26">
        <f>vlookup(B370,'재고 백업'!$A:$B,2,0)</f>
        <v>89</v>
      </c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  <c r="AG370" s="47"/>
      <c r="AH370" s="47"/>
      <c r="AI370" s="47"/>
      <c r="AJ370" s="47"/>
      <c r="AK370" s="47"/>
      <c r="AL370" s="47"/>
      <c r="AM370" s="47"/>
      <c r="AN370" s="47"/>
      <c r="AO370" s="47"/>
      <c r="AP370" s="47"/>
      <c r="AQ370" s="47"/>
      <c r="AR370" s="47"/>
      <c r="AS370" s="47"/>
      <c r="AT370" s="47"/>
      <c r="AU370" s="47"/>
      <c r="AV370" s="47"/>
      <c r="AW370" s="47"/>
      <c r="AX370" s="47"/>
      <c r="AY370" s="47"/>
      <c r="AZ370" s="47"/>
      <c r="BA370" s="47"/>
      <c r="BB370" s="47"/>
      <c r="BC370" s="47"/>
      <c r="BD370" s="47"/>
      <c r="BE370" s="47"/>
      <c r="BF370" s="47"/>
      <c r="BG370" s="47"/>
      <c r="BH370" s="47"/>
      <c r="BI370" s="47"/>
      <c r="BJ370" s="47"/>
      <c r="BK370" s="47"/>
      <c r="BL370" s="47"/>
      <c r="BM370" s="47"/>
      <c r="BN370" s="47"/>
      <c r="BO370" s="47"/>
      <c r="BP370" s="47"/>
      <c r="BQ370" s="47"/>
      <c r="BR370" s="47"/>
      <c r="BS370" s="47"/>
      <c r="BT370" s="47"/>
      <c r="BU370" s="47"/>
      <c r="BV370" s="47"/>
      <c r="BW370" s="47"/>
    </row>
    <row r="371" ht="21.0" customHeight="1">
      <c r="A371" s="43"/>
      <c r="B371" s="30" t="s">
        <v>342</v>
      </c>
      <c r="C371" s="26">
        <f>vlookup(B371,'재고 백업'!$A:$B,2,0)</f>
        <v>29</v>
      </c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  <c r="AG371" s="47"/>
      <c r="AH371" s="47"/>
      <c r="AI371" s="47"/>
      <c r="AJ371" s="47"/>
      <c r="AK371" s="47"/>
      <c r="AL371" s="47"/>
      <c r="AM371" s="47"/>
      <c r="AN371" s="47"/>
      <c r="AO371" s="47"/>
      <c r="AP371" s="47"/>
      <c r="AQ371" s="47"/>
      <c r="AR371" s="47"/>
      <c r="AS371" s="47"/>
      <c r="AT371" s="47"/>
      <c r="AU371" s="47"/>
      <c r="AV371" s="47"/>
      <c r="AW371" s="47"/>
      <c r="AX371" s="47"/>
      <c r="AY371" s="47"/>
      <c r="AZ371" s="47"/>
      <c r="BA371" s="47"/>
      <c r="BB371" s="47"/>
      <c r="BC371" s="47"/>
      <c r="BD371" s="47"/>
      <c r="BE371" s="47"/>
      <c r="BF371" s="47"/>
      <c r="BG371" s="47"/>
      <c r="BH371" s="47"/>
      <c r="BI371" s="47"/>
      <c r="BJ371" s="47"/>
      <c r="BK371" s="47"/>
      <c r="BL371" s="47"/>
      <c r="BM371" s="47"/>
      <c r="BN371" s="47"/>
      <c r="BO371" s="47"/>
      <c r="BP371" s="47"/>
      <c r="BQ371" s="47"/>
      <c r="BR371" s="47"/>
      <c r="BS371" s="47"/>
      <c r="BT371" s="47"/>
      <c r="BU371" s="47"/>
      <c r="BV371" s="47"/>
      <c r="BW371" s="47"/>
    </row>
    <row r="372" ht="21.0" customHeight="1">
      <c r="A372" s="43"/>
      <c r="B372" s="30" t="s">
        <v>343</v>
      </c>
      <c r="C372" s="26">
        <f>vlookup(B372,'재고 백업'!$A:$B,2,0)</f>
        <v>19</v>
      </c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  <c r="AJ372" s="47"/>
      <c r="AK372" s="47"/>
      <c r="AL372" s="47"/>
      <c r="AM372" s="47"/>
      <c r="AN372" s="47"/>
      <c r="AO372" s="47"/>
      <c r="AP372" s="47"/>
      <c r="AQ372" s="47"/>
      <c r="AR372" s="47"/>
      <c r="AS372" s="47"/>
      <c r="AT372" s="47"/>
      <c r="AU372" s="47"/>
      <c r="AV372" s="47"/>
      <c r="AW372" s="47"/>
      <c r="AX372" s="47"/>
      <c r="AY372" s="47"/>
      <c r="AZ372" s="47"/>
      <c r="BA372" s="47"/>
      <c r="BB372" s="47"/>
      <c r="BC372" s="47"/>
      <c r="BD372" s="47"/>
      <c r="BE372" s="47"/>
      <c r="BF372" s="47"/>
      <c r="BG372" s="47"/>
      <c r="BH372" s="47"/>
      <c r="BI372" s="47"/>
      <c r="BJ372" s="47"/>
      <c r="BK372" s="47"/>
      <c r="BL372" s="47"/>
      <c r="BM372" s="47"/>
      <c r="BN372" s="47"/>
      <c r="BO372" s="47"/>
      <c r="BP372" s="47"/>
      <c r="BQ372" s="47"/>
      <c r="BR372" s="47"/>
      <c r="BS372" s="47"/>
      <c r="BT372" s="47"/>
      <c r="BU372" s="47"/>
      <c r="BV372" s="47"/>
      <c r="BW372" s="47"/>
    </row>
    <row r="373" ht="21.0" customHeight="1">
      <c r="A373" s="43"/>
      <c r="B373" s="30" t="s">
        <v>344</v>
      </c>
      <c r="C373" s="26">
        <f>vlookup(B373,'재고 백업'!$A:$B,2,0)</f>
        <v>76</v>
      </c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  <c r="AJ373" s="47"/>
      <c r="AK373" s="47"/>
      <c r="AL373" s="47"/>
      <c r="AM373" s="47"/>
      <c r="AN373" s="47"/>
      <c r="AO373" s="47"/>
      <c r="AP373" s="47"/>
      <c r="AQ373" s="47"/>
      <c r="AR373" s="47"/>
      <c r="AS373" s="47"/>
      <c r="AT373" s="47"/>
      <c r="AU373" s="47"/>
      <c r="AV373" s="47"/>
      <c r="AW373" s="47"/>
      <c r="AX373" s="47"/>
      <c r="AY373" s="47"/>
      <c r="AZ373" s="47"/>
      <c r="BA373" s="47"/>
      <c r="BB373" s="47"/>
      <c r="BC373" s="47"/>
      <c r="BD373" s="47"/>
      <c r="BE373" s="47"/>
      <c r="BF373" s="47"/>
      <c r="BG373" s="47"/>
      <c r="BH373" s="47"/>
      <c r="BI373" s="47"/>
      <c r="BJ373" s="47"/>
      <c r="BK373" s="47"/>
      <c r="BL373" s="47"/>
      <c r="BM373" s="47"/>
      <c r="BN373" s="47"/>
      <c r="BO373" s="47"/>
      <c r="BP373" s="47"/>
      <c r="BQ373" s="47"/>
      <c r="BR373" s="47"/>
      <c r="BS373" s="47"/>
      <c r="BT373" s="47"/>
      <c r="BU373" s="47"/>
      <c r="BV373" s="47"/>
      <c r="BW373" s="47"/>
    </row>
    <row r="374" ht="21.0" customHeight="1">
      <c r="A374" s="43"/>
      <c r="B374" s="30" t="s">
        <v>345</v>
      </c>
      <c r="C374" s="26">
        <f>vlookup(B374,'재고 백업'!$A:$B,2,0)</f>
        <v>1</v>
      </c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  <c r="AJ374" s="47"/>
      <c r="AK374" s="47"/>
      <c r="AL374" s="47"/>
      <c r="AM374" s="47"/>
      <c r="AN374" s="47"/>
      <c r="AO374" s="47"/>
      <c r="AP374" s="47"/>
      <c r="AQ374" s="47"/>
      <c r="AR374" s="47"/>
      <c r="AS374" s="47"/>
      <c r="AT374" s="47"/>
      <c r="AU374" s="47"/>
      <c r="AV374" s="47"/>
      <c r="AW374" s="47"/>
      <c r="AX374" s="47"/>
      <c r="AY374" s="47"/>
      <c r="AZ374" s="47"/>
      <c r="BA374" s="47"/>
      <c r="BB374" s="47"/>
      <c r="BC374" s="47"/>
      <c r="BD374" s="47"/>
      <c r="BE374" s="47"/>
      <c r="BF374" s="47"/>
      <c r="BG374" s="47"/>
      <c r="BH374" s="47"/>
      <c r="BI374" s="47"/>
      <c r="BJ374" s="47"/>
      <c r="BK374" s="47"/>
      <c r="BL374" s="47"/>
      <c r="BM374" s="47"/>
      <c r="BN374" s="47"/>
      <c r="BO374" s="47"/>
      <c r="BP374" s="47"/>
      <c r="BQ374" s="47"/>
      <c r="BR374" s="47"/>
      <c r="BS374" s="47"/>
      <c r="BT374" s="47"/>
      <c r="BU374" s="47"/>
      <c r="BV374" s="47"/>
      <c r="BW374" s="47"/>
    </row>
    <row r="375" ht="21.0" customHeight="1">
      <c r="A375" s="43"/>
      <c r="B375" s="30" t="s">
        <v>346</v>
      </c>
      <c r="C375" s="26">
        <f>vlookup(B375,'재고 백업'!$A:$B,2,0)</f>
        <v>18</v>
      </c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  <c r="AJ375" s="47"/>
      <c r="AK375" s="47"/>
      <c r="AL375" s="47"/>
      <c r="AM375" s="47"/>
      <c r="AN375" s="47"/>
      <c r="AO375" s="47"/>
      <c r="AP375" s="47"/>
      <c r="AQ375" s="47"/>
      <c r="AR375" s="47"/>
      <c r="AS375" s="47"/>
      <c r="AT375" s="47"/>
      <c r="AU375" s="47"/>
      <c r="AV375" s="47"/>
      <c r="AW375" s="47"/>
      <c r="AX375" s="47"/>
      <c r="AY375" s="47"/>
      <c r="AZ375" s="47"/>
      <c r="BA375" s="47"/>
      <c r="BB375" s="47"/>
      <c r="BC375" s="47"/>
      <c r="BD375" s="47"/>
      <c r="BE375" s="47"/>
      <c r="BF375" s="47"/>
      <c r="BG375" s="47"/>
      <c r="BH375" s="47"/>
      <c r="BI375" s="47"/>
      <c r="BJ375" s="47"/>
      <c r="BK375" s="47"/>
      <c r="BL375" s="47"/>
      <c r="BM375" s="47"/>
      <c r="BN375" s="47"/>
      <c r="BO375" s="47"/>
      <c r="BP375" s="47"/>
      <c r="BQ375" s="47"/>
      <c r="BR375" s="47"/>
      <c r="BS375" s="47"/>
      <c r="BT375" s="47"/>
      <c r="BU375" s="47"/>
      <c r="BV375" s="47"/>
      <c r="BW375" s="47"/>
    </row>
    <row r="376" ht="21.0" customHeight="1">
      <c r="A376" s="43"/>
      <c r="B376" s="30" t="s">
        <v>347</v>
      </c>
      <c r="C376" s="26">
        <f>vlookup(B376,'재고 백업'!$A:$B,2,0)</f>
        <v>78</v>
      </c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  <c r="AG376" s="47"/>
      <c r="AH376" s="47"/>
      <c r="AI376" s="47"/>
      <c r="AJ376" s="47"/>
      <c r="AK376" s="47"/>
      <c r="AL376" s="47"/>
      <c r="AM376" s="47"/>
      <c r="AN376" s="47"/>
      <c r="AO376" s="47"/>
      <c r="AP376" s="47"/>
      <c r="AQ376" s="47"/>
      <c r="AR376" s="47"/>
      <c r="AS376" s="47"/>
      <c r="AT376" s="47"/>
      <c r="AU376" s="47"/>
      <c r="AV376" s="47"/>
      <c r="AW376" s="47"/>
      <c r="AX376" s="47"/>
      <c r="AY376" s="47"/>
      <c r="AZ376" s="47"/>
      <c r="BA376" s="47"/>
      <c r="BB376" s="47"/>
      <c r="BC376" s="47"/>
      <c r="BD376" s="47"/>
      <c r="BE376" s="47"/>
      <c r="BF376" s="47"/>
      <c r="BG376" s="47"/>
      <c r="BH376" s="47"/>
      <c r="BI376" s="47"/>
      <c r="BJ376" s="47"/>
      <c r="BK376" s="47"/>
      <c r="BL376" s="47"/>
      <c r="BM376" s="47"/>
      <c r="BN376" s="47"/>
      <c r="BO376" s="47"/>
      <c r="BP376" s="47"/>
      <c r="BQ376" s="47"/>
      <c r="BR376" s="47"/>
      <c r="BS376" s="47"/>
      <c r="BT376" s="47"/>
      <c r="BU376" s="47"/>
      <c r="BV376" s="47"/>
      <c r="BW376" s="47"/>
    </row>
    <row r="377" ht="21.0" customHeight="1">
      <c r="A377" s="43"/>
      <c r="B377" s="30" t="s">
        <v>348</v>
      </c>
      <c r="C377" s="26">
        <f>vlookup(B377,'재고 백업'!$A:$B,2,0)</f>
        <v>531</v>
      </c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  <c r="AG377" s="47"/>
      <c r="AH377" s="47"/>
      <c r="AI377" s="47"/>
      <c r="AJ377" s="47"/>
      <c r="AK377" s="47"/>
      <c r="AL377" s="47"/>
      <c r="AM377" s="47"/>
      <c r="AN377" s="47"/>
      <c r="AO377" s="47"/>
      <c r="AP377" s="47"/>
      <c r="AQ377" s="47"/>
      <c r="AR377" s="47"/>
      <c r="AS377" s="47"/>
      <c r="AT377" s="47"/>
      <c r="AU377" s="47"/>
      <c r="AV377" s="47"/>
      <c r="AW377" s="47"/>
      <c r="AX377" s="47"/>
      <c r="AY377" s="47"/>
      <c r="AZ377" s="47"/>
      <c r="BA377" s="47"/>
      <c r="BB377" s="47"/>
      <c r="BC377" s="47"/>
      <c r="BD377" s="47"/>
      <c r="BE377" s="47"/>
      <c r="BF377" s="47"/>
      <c r="BG377" s="47"/>
      <c r="BH377" s="47"/>
      <c r="BI377" s="47"/>
      <c r="BJ377" s="47"/>
      <c r="BK377" s="47"/>
      <c r="BL377" s="47"/>
      <c r="BM377" s="47"/>
      <c r="BN377" s="47"/>
      <c r="BO377" s="47"/>
      <c r="BP377" s="47"/>
      <c r="BQ377" s="47"/>
      <c r="BR377" s="47"/>
      <c r="BS377" s="47"/>
      <c r="BT377" s="47"/>
      <c r="BU377" s="47"/>
      <c r="BV377" s="47"/>
      <c r="BW377" s="47"/>
    </row>
    <row r="378" ht="21.0" customHeight="1">
      <c r="A378" s="43"/>
      <c r="B378" s="30" t="s">
        <v>349</v>
      </c>
      <c r="C378" s="26">
        <f>vlookup(B378,'재고 백업'!$A:$B,2,0)</f>
        <v>171</v>
      </c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  <c r="AG378" s="47"/>
      <c r="AH378" s="47"/>
      <c r="AI378" s="47"/>
      <c r="AJ378" s="47"/>
      <c r="AK378" s="47"/>
      <c r="AL378" s="47"/>
      <c r="AM378" s="47"/>
      <c r="AN378" s="47"/>
      <c r="AO378" s="47"/>
      <c r="AP378" s="47"/>
      <c r="AQ378" s="47"/>
      <c r="AR378" s="47"/>
      <c r="AS378" s="47"/>
      <c r="AT378" s="47"/>
      <c r="AU378" s="47"/>
      <c r="AV378" s="47"/>
      <c r="AW378" s="47"/>
      <c r="AX378" s="47"/>
      <c r="AY378" s="47"/>
      <c r="AZ378" s="47"/>
      <c r="BA378" s="47"/>
      <c r="BB378" s="47"/>
      <c r="BC378" s="47"/>
      <c r="BD378" s="47"/>
      <c r="BE378" s="47"/>
      <c r="BF378" s="47"/>
      <c r="BG378" s="47"/>
      <c r="BH378" s="47"/>
      <c r="BI378" s="47"/>
      <c r="BJ378" s="47"/>
      <c r="BK378" s="47"/>
      <c r="BL378" s="47"/>
      <c r="BM378" s="47"/>
      <c r="BN378" s="47"/>
      <c r="BO378" s="47"/>
      <c r="BP378" s="47"/>
      <c r="BQ378" s="47"/>
      <c r="BR378" s="47"/>
      <c r="BS378" s="47"/>
      <c r="BT378" s="47"/>
      <c r="BU378" s="47"/>
      <c r="BV378" s="47"/>
      <c r="BW378" s="47"/>
    </row>
    <row r="379" ht="21.0" customHeight="1">
      <c r="A379" s="43"/>
      <c r="B379" s="30" t="s">
        <v>350</v>
      </c>
      <c r="C379" s="26">
        <f>vlookup(B379,'재고 백업'!$A:$B,2,0)</f>
        <v>77</v>
      </c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  <c r="AG379" s="47"/>
      <c r="AH379" s="47"/>
      <c r="AI379" s="47"/>
      <c r="AJ379" s="47"/>
      <c r="AK379" s="47"/>
      <c r="AL379" s="47"/>
      <c r="AM379" s="47"/>
      <c r="AN379" s="47"/>
      <c r="AO379" s="47"/>
      <c r="AP379" s="47"/>
      <c r="AQ379" s="47"/>
      <c r="AR379" s="47"/>
      <c r="AS379" s="47"/>
      <c r="AT379" s="47"/>
      <c r="AU379" s="47"/>
      <c r="AV379" s="47"/>
      <c r="AW379" s="47"/>
      <c r="AX379" s="47"/>
      <c r="AY379" s="47"/>
      <c r="AZ379" s="47"/>
      <c r="BA379" s="47"/>
      <c r="BB379" s="47"/>
      <c r="BC379" s="47"/>
      <c r="BD379" s="47"/>
      <c r="BE379" s="47"/>
      <c r="BF379" s="47"/>
      <c r="BG379" s="47"/>
      <c r="BH379" s="47"/>
      <c r="BI379" s="47"/>
      <c r="BJ379" s="47"/>
      <c r="BK379" s="47"/>
      <c r="BL379" s="47"/>
      <c r="BM379" s="47"/>
      <c r="BN379" s="47"/>
      <c r="BO379" s="47"/>
      <c r="BP379" s="47"/>
      <c r="BQ379" s="47"/>
      <c r="BR379" s="47"/>
      <c r="BS379" s="47"/>
      <c r="BT379" s="47"/>
      <c r="BU379" s="47"/>
      <c r="BV379" s="47"/>
      <c r="BW379" s="47"/>
    </row>
    <row r="380" ht="21.0" customHeight="1">
      <c r="A380" s="43"/>
      <c r="B380" s="30" t="s">
        <v>351</v>
      </c>
      <c r="C380" s="26">
        <f>vlookup(B380,'재고 백업'!$A:$B,2,0)</f>
        <v>13</v>
      </c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  <c r="AG380" s="47"/>
      <c r="AH380" s="47"/>
      <c r="AI380" s="47"/>
      <c r="AJ380" s="47"/>
      <c r="AK380" s="47"/>
      <c r="AL380" s="47"/>
      <c r="AM380" s="47"/>
      <c r="AN380" s="47"/>
      <c r="AO380" s="47"/>
      <c r="AP380" s="47"/>
      <c r="AQ380" s="47"/>
      <c r="AR380" s="47"/>
      <c r="AS380" s="47"/>
      <c r="AT380" s="47"/>
      <c r="AU380" s="47"/>
      <c r="AV380" s="47"/>
      <c r="AW380" s="47"/>
      <c r="AX380" s="47"/>
      <c r="AY380" s="47"/>
      <c r="AZ380" s="47"/>
      <c r="BA380" s="47"/>
      <c r="BB380" s="47"/>
      <c r="BC380" s="47"/>
      <c r="BD380" s="47"/>
      <c r="BE380" s="47"/>
      <c r="BF380" s="47"/>
      <c r="BG380" s="47"/>
      <c r="BH380" s="47"/>
      <c r="BI380" s="47"/>
      <c r="BJ380" s="47"/>
      <c r="BK380" s="47"/>
      <c r="BL380" s="47"/>
      <c r="BM380" s="47"/>
      <c r="BN380" s="47"/>
      <c r="BO380" s="47"/>
      <c r="BP380" s="47"/>
      <c r="BQ380" s="47"/>
      <c r="BR380" s="47"/>
      <c r="BS380" s="47"/>
      <c r="BT380" s="47"/>
      <c r="BU380" s="47"/>
      <c r="BV380" s="47"/>
      <c r="BW380" s="47"/>
    </row>
    <row r="381" ht="21.0" customHeight="1">
      <c r="A381" s="43"/>
      <c r="B381" s="30" t="s">
        <v>352</v>
      </c>
      <c r="C381" s="26">
        <f>vlookup(B381,'재고 백업'!$A:$B,2,0)</f>
        <v>10</v>
      </c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  <c r="AG381" s="47"/>
      <c r="AH381" s="47"/>
      <c r="AI381" s="47"/>
      <c r="AJ381" s="47"/>
      <c r="AK381" s="47"/>
      <c r="AL381" s="47"/>
      <c r="AM381" s="47"/>
      <c r="AN381" s="47"/>
      <c r="AO381" s="47"/>
      <c r="AP381" s="47"/>
      <c r="AQ381" s="47"/>
      <c r="AR381" s="47"/>
      <c r="AS381" s="47"/>
      <c r="AT381" s="47"/>
      <c r="AU381" s="47"/>
      <c r="AV381" s="47"/>
      <c r="AW381" s="47"/>
      <c r="AX381" s="47"/>
      <c r="AY381" s="47"/>
      <c r="AZ381" s="47"/>
      <c r="BA381" s="47"/>
      <c r="BB381" s="47"/>
      <c r="BC381" s="47"/>
      <c r="BD381" s="47"/>
      <c r="BE381" s="47"/>
      <c r="BF381" s="47"/>
      <c r="BG381" s="47"/>
      <c r="BH381" s="47"/>
      <c r="BI381" s="47"/>
      <c r="BJ381" s="47"/>
      <c r="BK381" s="47"/>
      <c r="BL381" s="47"/>
      <c r="BM381" s="47"/>
      <c r="BN381" s="47"/>
      <c r="BO381" s="47"/>
      <c r="BP381" s="47"/>
      <c r="BQ381" s="47"/>
      <c r="BR381" s="47"/>
      <c r="BS381" s="47"/>
      <c r="BT381" s="47"/>
      <c r="BU381" s="47"/>
      <c r="BV381" s="47"/>
      <c r="BW381" s="47"/>
    </row>
    <row r="382" ht="21.0" customHeight="1">
      <c r="A382" s="43"/>
      <c r="B382" s="30" t="s">
        <v>353</v>
      </c>
      <c r="C382" s="26">
        <f>vlookup(B382,'재고 백업'!$A:$B,2,0)</f>
        <v>14</v>
      </c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  <c r="AG382" s="47"/>
      <c r="AH382" s="47"/>
      <c r="AI382" s="47"/>
      <c r="AJ382" s="47"/>
      <c r="AK382" s="47"/>
      <c r="AL382" s="47"/>
      <c r="AM382" s="47"/>
      <c r="AN382" s="47"/>
      <c r="AO382" s="47"/>
      <c r="AP382" s="47"/>
      <c r="AQ382" s="47"/>
      <c r="AR382" s="47"/>
      <c r="AS382" s="47"/>
      <c r="AT382" s="47"/>
      <c r="AU382" s="47"/>
      <c r="AV382" s="47"/>
      <c r="AW382" s="47"/>
      <c r="AX382" s="47"/>
      <c r="AY382" s="47"/>
      <c r="AZ382" s="47"/>
      <c r="BA382" s="47"/>
      <c r="BB382" s="47"/>
      <c r="BC382" s="47"/>
      <c r="BD382" s="47"/>
      <c r="BE382" s="47"/>
      <c r="BF382" s="47"/>
      <c r="BG382" s="47"/>
      <c r="BH382" s="47"/>
      <c r="BI382" s="47"/>
      <c r="BJ382" s="47"/>
      <c r="BK382" s="47"/>
      <c r="BL382" s="47"/>
      <c r="BM382" s="47"/>
      <c r="BN382" s="47"/>
      <c r="BO382" s="47"/>
      <c r="BP382" s="47"/>
      <c r="BQ382" s="47"/>
      <c r="BR382" s="47"/>
      <c r="BS382" s="47"/>
      <c r="BT382" s="47"/>
      <c r="BU382" s="47"/>
      <c r="BV382" s="47"/>
      <c r="BW382" s="47"/>
    </row>
    <row r="383" ht="21.0" customHeight="1">
      <c r="A383" s="43"/>
      <c r="B383" s="30" t="s">
        <v>354</v>
      </c>
      <c r="C383" s="26">
        <f>vlookup(B383,'재고 백업'!$A:$B,2,0)</f>
        <v>30</v>
      </c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  <c r="AG383" s="47"/>
      <c r="AH383" s="47"/>
      <c r="AI383" s="47"/>
      <c r="AJ383" s="47"/>
      <c r="AK383" s="47"/>
      <c r="AL383" s="47"/>
      <c r="AM383" s="47"/>
      <c r="AN383" s="47"/>
      <c r="AO383" s="47"/>
      <c r="AP383" s="47"/>
      <c r="AQ383" s="47"/>
      <c r="AR383" s="47"/>
      <c r="AS383" s="47"/>
      <c r="AT383" s="47"/>
      <c r="AU383" s="47"/>
      <c r="AV383" s="47"/>
      <c r="AW383" s="47"/>
      <c r="AX383" s="47"/>
      <c r="AY383" s="47"/>
      <c r="AZ383" s="47"/>
      <c r="BA383" s="47"/>
      <c r="BB383" s="47"/>
      <c r="BC383" s="47"/>
      <c r="BD383" s="47"/>
      <c r="BE383" s="47"/>
      <c r="BF383" s="47"/>
      <c r="BG383" s="47"/>
      <c r="BH383" s="47"/>
      <c r="BI383" s="47"/>
      <c r="BJ383" s="47"/>
      <c r="BK383" s="47"/>
      <c r="BL383" s="47"/>
      <c r="BM383" s="47"/>
      <c r="BN383" s="47"/>
      <c r="BO383" s="47"/>
      <c r="BP383" s="47"/>
      <c r="BQ383" s="47"/>
      <c r="BR383" s="47"/>
      <c r="BS383" s="47"/>
      <c r="BT383" s="47"/>
      <c r="BU383" s="47"/>
      <c r="BV383" s="47"/>
      <c r="BW383" s="47"/>
    </row>
    <row r="384" ht="21.0" customHeight="1">
      <c r="A384" s="43"/>
      <c r="B384" s="33"/>
      <c r="C384" s="34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  <c r="AG384" s="47"/>
      <c r="AH384" s="47"/>
      <c r="AI384" s="47"/>
      <c r="AJ384" s="47"/>
      <c r="AK384" s="47"/>
      <c r="AL384" s="47"/>
      <c r="AM384" s="47"/>
      <c r="AN384" s="47"/>
      <c r="AO384" s="47"/>
      <c r="AP384" s="47"/>
      <c r="AQ384" s="47"/>
      <c r="AR384" s="47"/>
      <c r="AS384" s="47"/>
      <c r="AT384" s="47"/>
      <c r="AU384" s="47"/>
      <c r="AV384" s="47"/>
      <c r="AW384" s="47"/>
      <c r="AX384" s="47"/>
      <c r="AY384" s="47"/>
      <c r="AZ384" s="47"/>
      <c r="BA384" s="47"/>
      <c r="BB384" s="47"/>
      <c r="BC384" s="47"/>
      <c r="BD384" s="47"/>
      <c r="BE384" s="47"/>
      <c r="BF384" s="47"/>
      <c r="BG384" s="47"/>
      <c r="BH384" s="47"/>
      <c r="BI384" s="47"/>
      <c r="BJ384" s="47"/>
      <c r="BK384" s="47"/>
      <c r="BL384" s="47"/>
      <c r="BM384" s="47"/>
      <c r="BN384" s="47"/>
      <c r="BO384" s="47"/>
      <c r="BP384" s="47"/>
      <c r="BQ384" s="47"/>
      <c r="BR384" s="47"/>
      <c r="BS384" s="47"/>
      <c r="BT384" s="47"/>
      <c r="BU384" s="47"/>
      <c r="BV384" s="47"/>
      <c r="BW384" s="47"/>
    </row>
    <row r="385" ht="21.0" customHeight="1">
      <c r="A385" s="43"/>
      <c r="B385" s="42" t="s">
        <v>355</v>
      </c>
      <c r="C385" s="42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  <c r="AG385" s="47"/>
      <c r="AH385" s="47"/>
      <c r="AI385" s="47"/>
      <c r="AJ385" s="47"/>
      <c r="AK385" s="47"/>
      <c r="AL385" s="47"/>
      <c r="AM385" s="47"/>
      <c r="AN385" s="47"/>
      <c r="AO385" s="47"/>
      <c r="AP385" s="47"/>
      <c r="AQ385" s="47"/>
      <c r="AR385" s="47"/>
      <c r="AS385" s="47"/>
      <c r="AT385" s="47"/>
      <c r="AU385" s="47"/>
      <c r="AV385" s="47"/>
      <c r="AW385" s="47"/>
      <c r="AX385" s="47"/>
      <c r="AY385" s="47"/>
      <c r="AZ385" s="47"/>
      <c r="BA385" s="47"/>
      <c r="BB385" s="47"/>
      <c r="BC385" s="47"/>
      <c r="BD385" s="47"/>
      <c r="BE385" s="47"/>
      <c r="BF385" s="47"/>
      <c r="BG385" s="47"/>
      <c r="BH385" s="47"/>
      <c r="BI385" s="47"/>
      <c r="BJ385" s="47"/>
      <c r="BK385" s="47"/>
      <c r="BL385" s="47"/>
      <c r="BM385" s="47"/>
      <c r="BN385" s="47"/>
      <c r="BO385" s="47"/>
      <c r="BP385" s="47"/>
      <c r="BQ385" s="47"/>
      <c r="BR385" s="47"/>
      <c r="BS385" s="47"/>
      <c r="BT385" s="47"/>
      <c r="BU385" s="47"/>
      <c r="BV385" s="47"/>
      <c r="BW385" s="47"/>
    </row>
    <row r="386" ht="21.0" customHeight="1">
      <c r="A386" s="43"/>
      <c r="B386" s="30" t="s">
        <v>356</v>
      </c>
      <c r="C386" s="26">
        <f>vlookup(B386,'재고 백업'!$A:$B,2,0)</f>
        <v>102</v>
      </c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  <c r="AG386" s="47"/>
      <c r="AH386" s="47"/>
      <c r="AI386" s="47"/>
      <c r="AJ386" s="47"/>
      <c r="AK386" s="47"/>
      <c r="AL386" s="47"/>
      <c r="AM386" s="47"/>
      <c r="AN386" s="47"/>
      <c r="AO386" s="47"/>
      <c r="AP386" s="47"/>
      <c r="AQ386" s="47"/>
      <c r="AR386" s="47"/>
      <c r="AS386" s="47"/>
      <c r="AT386" s="47"/>
      <c r="AU386" s="47"/>
      <c r="AV386" s="47"/>
      <c r="AW386" s="47"/>
      <c r="AX386" s="47"/>
      <c r="AY386" s="47"/>
      <c r="AZ386" s="47"/>
      <c r="BA386" s="47"/>
      <c r="BB386" s="47"/>
      <c r="BC386" s="47"/>
      <c r="BD386" s="47"/>
      <c r="BE386" s="47"/>
      <c r="BF386" s="47"/>
      <c r="BG386" s="47"/>
      <c r="BH386" s="47"/>
      <c r="BI386" s="47"/>
      <c r="BJ386" s="47"/>
      <c r="BK386" s="47"/>
      <c r="BL386" s="47"/>
      <c r="BM386" s="47"/>
      <c r="BN386" s="47"/>
      <c r="BO386" s="47"/>
      <c r="BP386" s="47"/>
      <c r="BQ386" s="47"/>
      <c r="BR386" s="47"/>
      <c r="BS386" s="47"/>
      <c r="BT386" s="47"/>
      <c r="BU386" s="47"/>
      <c r="BV386" s="47"/>
      <c r="BW386" s="47"/>
    </row>
    <row r="387" ht="21.0" customHeight="1">
      <c r="A387" s="43"/>
      <c r="B387" s="30" t="s">
        <v>357</v>
      </c>
      <c r="C387" s="26">
        <f>vlookup(B387,'재고 백업'!$A:$B,2,0)</f>
        <v>257</v>
      </c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  <c r="AG387" s="47"/>
      <c r="AH387" s="47"/>
      <c r="AI387" s="47"/>
      <c r="AJ387" s="47"/>
      <c r="AK387" s="47"/>
      <c r="AL387" s="47"/>
      <c r="AM387" s="47"/>
      <c r="AN387" s="47"/>
      <c r="AO387" s="47"/>
      <c r="AP387" s="47"/>
      <c r="AQ387" s="47"/>
      <c r="AR387" s="47"/>
      <c r="AS387" s="47"/>
      <c r="AT387" s="47"/>
      <c r="AU387" s="47"/>
      <c r="AV387" s="47"/>
      <c r="AW387" s="47"/>
      <c r="AX387" s="47"/>
      <c r="AY387" s="47"/>
      <c r="AZ387" s="47"/>
      <c r="BA387" s="47"/>
      <c r="BB387" s="47"/>
      <c r="BC387" s="47"/>
      <c r="BD387" s="47"/>
      <c r="BE387" s="47"/>
      <c r="BF387" s="47"/>
      <c r="BG387" s="47"/>
      <c r="BH387" s="47"/>
      <c r="BI387" s="47"/>
      <c r="BJ387" s="47"/>
      <c r="BK387" s="47"/>
      <c r="BL387" s="47"/>
      <c r="BM387" s="47"/>
      <c r="BN387" s="47"/>
      <c r="BO387" s="47"/>
      <c r="BP387" s="47"/>
      <c r="BQ387" s="47"/>
      <c r="BR387" s="47"/>
      <c r="BS387" s="47"/>
      <c r="BT387" s="47"/>
      <c r="BU387" s="47"/>
      <c r="BV387" s="47"/>
      <c r="BW387" s="47"/>
    </row>
    <row r="388" ht="21.0" customHeight="1">
      <c r="A388" s="43"/>
      <c r="B388" s="30" t="s">
        <v>358</v>
      </c>
      <c r="C388" s="26">
        <f>vlookup(B388,'재고 백업'!$A:$B,2,0)</f>
        <v>71</v>
      </c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  <c r="AG388" s="47"/>
      <c r="AH388" s="47"/>
      <c r="AI388" s="47"/>
      <c r="AJ388" s="47"/>
      <c r="AK388" s="47"/>
      <c r="AL388" s="47"/>
      <c r="AM388" s="47"/>
      <c r="AN388" s="47"/>
      <c r="AO388" s="47"/>
      <c r="AP388" s="47"/>
      <c r="AQ388" s="47"/>
      <c r="AR388" s="47"/>
      <c r="AS388" s="47"/>
      <c r="AT388" s="47"/>
      <c r="AU388" s="47"/>
      <c r="AV388" s="47"/>
      <c r="AW388" s="47"/>
      <c r="AX388" s="47"/>
      <c r="AY388" s="47"/>
      <c r="AZ388" s="47"/>
      <c r="BA388" s="47"/>
      <c r="BB388" s="47"/>
      <c r="BC388" s="47"/>
      <c r="BD388" s="47"/>
      <c r="BE388" s="47"/>
      <c r="BF388" s="47"/>
      <c r="BG388" s="47"/>
      <c r="BH388" s="47"/>
      <c r="BI388" s="47"/>
      <c r="BJ388" s="47"/>
      <c r="BK388" s="47"/>
      <c r="BL388" s="47"/>
      <c r="BM388" s="47"/>
      <c r="BN388" s="47"/>
      <c r="BO388" s="47"/>
      <c r="BP388" s="47"/>
      <c r="BQ388" s="47"/>
      <c r="BR388" s="47"/>
      <c r="BS388" s="47"/>
      <c r="BT388" s="47"/>
      <c r="BU388" s="47"/>
      <c r="BV388" s="47"/>
      <c r="BW388" s="47"/>
    </row>
    <row r="389" ht="21.0" customHeight="1">
      <c r="A389" s="43"/>
      <c r="B389" s="30" t="s">
        <v>359</v>
      </c>
      <c r="C389" s="26">
        <f>vlookup(B389,'재고 백업'!$A:$B,2,0)</f>
        <v>153</v>
      </c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  <c r="AG389" s="47"/>
      <c r="AH389" s="47"/>
      <c r="AI389" s="47"/>
      <c r="AJ389" s="47"/>
      <c r="AK389" s="47"/>
      <c r="AL389" s="47"/>
      <c r="AM389" s="47"/>
      <c r="AN389" s="47"/>
      <c r="AO389" s="47"/>
      <c r="AP389" s="47"/>
      <c r="AQ389" s="47"/>
      <c r="AR389" s="47"/>
      <c r="AS389" s="47"/>
      <c r="AT389" s="47"/>
      <c r="AU389" s="47"/>
      <c r="AV389" s="47"/>
      <c r="AW389" s="47"/>
      <c r="AX389" s="47"/>
      <c r="AY389" s="47"/>
      <c r="AZ389" s="47"/>
      <c r="BA389" s="47"/>
      <c r="BB389" s="47"/>
      <c r="BC389" s="47"/>
      <c r="BD389" s="47"/>
      <c r="BE389" s="47"/>
      <c r="BF389" s="47"/>
      <c r="BG389" s="47"/>
      <c r="BH389" s="47"/>
      <c r="BI389" s="47"/>
      <c r="BJ389" s="47"/>
      <c r="BK389" s="47"/>
      <c r="BL389" s="47"/>
      <c r="BM389" s="47"/>
      <c r="BN389" s="47"/>
      <c r="BO389" s="47"/>
      <c r="BP389" s="47"/>
      <c r="BQ389" s="47"/>
      <c r="BR389" s="47"/>
      <c r="BS389" s="47"/>
      <c r="BT389" s="47"/>
      <c r="BU389" s="47"/>
      <c r="BV389" s="47"/>
      <c r="BW389" s="47"/>
    </row>
    <row r="390" ht="21.0" customHeight="1">
      <c r="A390" s="43"/>
      <c r="B390" s="30" t="s">
        <v>360</v>
      </c>
      <c r="C390" s="26">
        <f>vlookup(B390,'재고 백업'!$A:$B,2,0)</f>
        <v>43</v>
      </c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  <c r="AG390" s="47"/>
      <c r="AH390" s="47"/>
      <c r="AI390" s="47"/>
      <c r="AJ390" s="47"/>
      <c r="AK390" s="47"/>
      <c r="AL390" s="47"/>
      <c r="AM390" s="47"/>
      <c r="AN390" s="47"/>
      <c r="AO390" s="47"/>
      <c r="AP390" s="47"/>
      <c r="AQ390" s="47"/>
      <c r="AR390" s="47"/>
      <c r="AS390" s="47"/>
      <c r="AT390" s="47"/>
      <c r="AU390" s="47"/>
      <c r="AV390" s="47"/>
      <c r="AW390" s="47"/>
      <c r="AX390" s="47"/>
      <c r="AY390" s="47"/>
      <c r="AZ390" s="47"/>
      <c r="BA390" s="47"/>
      <c r="BB390" s="47"/>
      <c r="BC390" s="47"/>
      <c r="BD390" s="47"/>
      <c r="BE390" s="47"/>
      <c r="BF390" s="47"/>
      <c r="BG390" s="47"/>
      <c r="BH390" s="47"/>
      <c r="BI390" s="47"/>
      <c r="BJ390" s="47"/>
      <c r="BK390" s="47"/>
      <c r="BL390" s="47"/>
      <c r="BM390" s="47"/>
      <c r="BN390" s="47"/>
      <c r="BO390" s="47"/>
      <c r="BP390" s="47"/>
      <c r="BQ390" s="47"/>
      <c r="BR390" s="47"/>
      <c r="BS390" s="47"/>
      <c r="BT390" s="47"/>
      <c r="BU390" s="47"/>
      <c r="BV390" s="47"/>
      <c r="BW390" s="47"/>
    </row>
    <row r="391" ht="21.0" customHeight="1">
      <c r="A391" s="43"/>
      <c r="B391" s="30" t="s">
        <v>361</v>
      </c>
      <c r="C391" s="26">
        <f>vlookup(B391,'재고 백업'!$A:$B,2,0)</f>
        <v>71</v>
      </c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  <c r="AG391" s="47"/>
      <c r="AH391" s="47"/>
      <c r="AI391" s="47"/>
      <c r="AJ391" s="47"/>
      <c r="AK391" s="47"/>
      <c r="AL391" s="47"/>
      <c r="AM391" s="47"/>
      <c r="AN391" s="47"/>
      <c r="AO391" s="47"/>
      <c r="AP391" s="47"/>
      <c r="AQ391" s="47"/>
      <c r="AR391" s="47"/>
      <c r="AS391" s="47"/>
      <c r="AT391" s="47"/>
      <c r="AU391" s="47"/>
      <c r="AV391" s="47"/>
      <c r="AW391" s="47"/>
      <c r="AX391" s="47"/>
      <c r="AY391" s="47"/>
      <c r="AZ391" s="47"/>
      <c r="BA391" s="47"/>
      <c r="BB391" s="47"/>
      <c r="BC391" s="47"/>
      <c r="BD391" s="47"/>
      <c r="BE391" s="47"/>
      <c r="BF391" s="47"/>
      <c r="BG391" s="47"/>
      <c r="BH391" s="47"/>
      <c r="BI391" s="47"/>
      <c r="BJ391" s="47"/>
      <c r="BK391" s="47"/>
      <c r="BL391" s="47"/>
      <c r="BM391" s="47"/>
      <c r="BN391" s="47"/>
      <c r="BO391" s="47"/>
      <c r="BP391" s="47"/>
      <c r="BQ391" s="47"/>
      <c r="BR391" s="47"/>
      <c r="BS391" s="47"/>
      <c r="BT391" s="47"/>
      <c r="BU391" s="47"/>
      <c r="BV391" s="47"/>
      <c r="BW391" s="47"/>
    </row>
    <row r="392" ht="21.0" customHeight="1">
      <c r="A392" s="43"/>
      <c r="B392" s="30" t="s">
        <v>362</v>
      </c>
      <c r="C392" s="26">
        <f>vlookup(B392,'재고 백업'!$A:$B,2,0)</f>
        <v>23</v>
      </c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  <c r="AG392" s="47"/>
      <c r="AH392" s="47"/>
      <c r="AI392" s="47"/>
      <c r="AJ392" s="47"/>
      <c r="AK392" s="47"/>
      <c r="AL392" s="47"/>
      <c r="AM392" s="47"/>
      <c r="AN392" s="47"/>
      <c r="AO392" s="47"/>
      <c r="AP392" s="47"/>
      <c r="AQ392" s="47"/>
      <c r="AR392" s="47"/>
      <c r="AS392" s="47"/>
      <c r="AT392" s="47"/>
      <c r="AU392" s="47"/>
      <c r="AV392" s="47"/>
      <c r="AW392" s="47"/>
      <c r="AX392" s="47"/>
      <c r="AY392" s="47"/>
      <c r="AZ392" s="47"/>
      <c r="BA392" s="47"/>
      <c r="BB392" s="47"/>
      <c r="BC392" s="47"/>
      <c r="BD392" s="47"/>
      <c r="BE392" s="47"/>
      <c r="BF392" s="47"/>
      <c r="BG392" s="47"/>
      <c r="BH392" s="47"/>
      <c r="BI392" s="47"/>
      <c r="BJ392" s="47"/>
      <c r="BK392" s="47"/>
      <c r="BL392" s="47"/>
      <c r="BM392" s="47"/>
      <c r="BN392" s="47"/>
      <c r="BO392" s="47"/>
      <c r="BP392" s="47"/>
      <c r="BQ392" s="47"/>
      <c r="BR392" s="47"/>
      <c r="BS392" s="47"/>
      <c r="BT392" s="47"/>
      <c r="BU392" s="47"/>
      <c r="BV392" s="47"/>
      <c r="BW392" s="47"/>
    </row>
    <row r="393" ht="21.0" customHeight="1">
      <c r="A393" s="43"/>
      <c r="B393" s="30" t="s">
        <v>363</v>
      </c>
      <c r="C393" s="26">
        <f>vlookup(B393,'재고 백업'!$A:$B,2,0)</f>
        <v>190</v>
      </c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  <c r="AG393" s="47"/>
      <c r="AH393" s="47"/>
      <c r="AI393" s="47"/>
      <c r="AJ393" s="47"/>
      <c r="AK393" s="47"/>
      <c r="AL393" s="47"/>
      <c r="AM393" s="47"/>
      <c r="AN393" s="47"/>
      <c r="AO393" s="47"/>
      <c r="AP393" s="47"/>
      <c r="AQ393" s="47"/>
      <c r="AR393" s="47"/>
      <c r="AS393" s="47"/>
      <c r="AT393" s="47"/>
      <c r="AU393" s="47"/>
      <c r="AV393" s="47"/>
      <c r="AW393" s="47"/>
      <c r="AX393" s="47"/>
      <c r="AY393" s="47"/>
      <c r="AZ393" s="47"/>
      <c r="BA393" s="47"/>
      <c r="BB393" s="47"/>
      <c r="BC393" s="47"/>
      <c r="BD393" s="47"/>
      <c r="BE393" s="47"/>
      <c r="BF393" s="47"/>
      <c r="BG393" s="47"/>
      <c r="BH393" s="47"/>
      <c r="BI393" s="47"/>
      <c r="BJ393" s="47"/>
      <c r="BK393" s="47"/>
      <c r="BL393" s="47"/>
      <c r="BM393" s="47"/>
      <c r="BN393" s="47"/>
      <c r="BO393" s="47"/>
      <c r="BP393" s="47"/>
      <c r="BQ393" s="47"/>
      <c r="BR393" s="47"/>
      <c r="BS393" s="47"/>
      <c r="BT393" s="47"/>
      <c r="BU393" s="47"/>
      <c r="BV393" s="47"/>
      <c r="BW393" s="47"/>
    </row>
    <row r="394" ht="21.0" customHeight="1">
      <c r="A394" s="43"/>
      <c r="B394" s="30" t="s">
        <v>364</v>
      </c>
      <c r="C394" s="26">
        <f>vlookup(B394,'재고 백업'!$A:$B,2,0)</f>
        <v>13</v>
      </c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  <c r="AG394" s="47"/>
      <c r="AH394" s="47"/>
      <c r="AI394" s="47"/>
      <c r="AJ394" s="47"/>
      <c r="AK394" s="47"/>
      <c r="AL394" s="47"/>
      <c r="AM394" s="47"/>
      <c r="AN394" s="47"/>
      <c r="AO394" s="47"/>
      <c r="AP394" s="47"/>
      <c r="AQ394" s="47"/>
      <c r="AR394" s="47"/>
      <c r="AS394" s="47"/>
      <c r="AT394" s="47"/>
      <c r="AU394" s="47"/>
      <c r="AV394" s="47"/>
      <c r="AW394" s="47"/>
      <c r="AX394" s="47"/>
      <c r="AY394" s="47"/>
      <c r="AZ394" s="47"/>
      <c r="BA394" s="47"/>
      <c r="BB394" s="47"/>
      <c r="BC394" s="47"/>
      <c r="BD394" s="47"/>
      <c r="BE394" s="47"/>
      <c r="BF394" s="47"/>
      <c r="BG394" s="47"/>
      <c r="BH394" s="47"/>
      <c r="BI394" s="47"/>
      <c r="BJ394" s="47"/>
      <c r="BK394" s="47"/>
      <c r="BL394" s="47"/>
      <c r="BM394" s="47"/>
      <c r="BN394" s="47"/>
      <c r="BO394" s="47"/>
      <c r="BP394" s="47"/>
      <c r="BQ394" s="47"/>
      <c r="BR394" s="47"/>
      <c r="BS394" s="47"/>
      <c r="BT394" s="47"/>
      <c r="BU394" s="47"/>
      <c r="BV394" s="47"/>
      <c r="BW394" s="47"/>
    </row>
    <row r="395" ht="21.0" customHeight="1">
      <c r="A395" s="43"/>
      <c r="B395" s="30" t="s">
        <v>365</v>
      </c>
      <c r="C395" s="26">
        <f>vlookup(B395,'재고 백업'!$A:$B,2,0)</f>
        <v>213</v>
      </c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  <c r="AG395" s="47"/>
      <c r="AH395" s="47"/>
      <c r="AI395" s="47"/>
      <c r="AJ395" s="47"/>
      <c r="AK395" s="47"/>
      <c r="AL395" s="47"/>
      <c r="AM395" s="47"/>
      <c r="AN395" s="47"/>
      <c r="AO395" s="47"/>
      <c r="AP395" s="47"/>
      <c r="AQ395" s="47"/>
      <c r="AR395" s="47"/>
      <c r="AS395" s="47"/>
      <c r="AT395" s="47"/>
      <c r="AU395" s="47"/>
      <c r="AV395" s="47"/>
      <c r="AW395" s="47"/>
      <c r="AX395" s="47"/>
      <c r="AY395" s="47"/>
      <c r="AZ395" s="47"/>
      <c r="BA395" s="47"/>
      <c r="BB395" s="47"/>
      <c r="BC395" s="47"/>
      <c r="BD395" s="47"/>
      <c r="BE395" s="47"/>
      <c r="BF395" s="47"/>
      <c r="BG395" s="47"/>
      <c r="BH395" s="47"/>
      <c r="BI395" s="47"/>
      <c r="BJ395" s="47"/>
      <c r="BK395" s="47"/>
      <c r="BL395" s="47"/>
      <c r="BM395" s="47"/>
      <c r="BN395" s="47"/>
      <c r="BO395" s="47"/>
      <c r="BP395" s="47"/>
      <c r="BQ395" s="47"/>
      <c r="BR395" s="47"/>
      <c r="BS395" s="47"/>
      <c r="BT395" s="47"/>
      <c r="BU395" s="47"/>
      <c r="BV395" s="47"/>
      <c r="BW395" s="47"/>
    </row>
    <row r="396" ht="21.0" customHeight="1">
      <c r="A396" s="43"/>
      <c r="B396" s="30" t="s">
        <v>366</v>
      </c>
      <c r="C396" s="26">
        <f>vlookup(B396,'재고 백업'!$A:$B,2,0)</f>
        <v>406</v>
      </c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  <c r="AG396" s="47"/>
      <c r="AH396" s="47"/>
      <c r="AI396" s="47"/>
      <c r="AJ396" s="47"/>
      <c r="AK396" s="47"/>
      <c r="AL396" s="47"/>
      <c r="AM396" s="47"/>
      <c r="AN396" s="47"/>
      <c r="AO396" s="47"/>
      <c r="AP396" s="47"/>
      <c r="AQ396" s="47"/>
      <c r="AR396" s="47"/>
      <c r="AS396" s="47"/>
      <c r="AT396" s="47"/>
      <c r="AU396" s="47"/>
      <c r="AV396" s="47"/>
      <c r="AW396" s="47"/>
      <c r="AX396" s="47"/>
      <c r="AY396" s="47"/>
      <c r="AZ396" s="47"/>
      <c r="BA396" s="47"/>
      <c r="BB396" s="47"/>
      <c r="BC396" s="47"/>
      <c r="BD396" s="47"/>
      <c r="BE396" s="47"/>
      <c r="BF396" s="47"/>
      <c r="BG396" s="47"/>
      <c r="BH396" s="47"/>
      <c r="BI396" s="47"/>
      <c r="BJ396" s="47"/>
      <c r="BK396" s="47"/>
      <c r="BL396" s="47"/>
      <c r="BM396" s="47"/>
      <c r="BN396" s="47"/>
      <c r="BO396" s="47"/>
      <c r="BP396" s="47"/>
      <c r="BQ396" s="47"/>
      <c r="BR396" s="47"/>
      <c r="BS396" s="47"/>
      <c r="BT396" s="47"/>
      <c r="BU396" s="47"/>
      <c r="BV396" s="47"/>
      <c r="BW396" s="47"/>
    </row>
    <row r="397" ht="21.0" customHeight="1">
      <c r="A397" s="43"/>
      <c r="B397" s="30" t="s">
        <v>367</v>
      </c>
      <c r="C397" s="26">
        <f>vlookup(B397,'재고 백업'!$A:$B,2,0)</f>
        <v>42</v>
      </c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  <c r="AG397" s="47"/>
      <c r="AH397" s="47"/>
      <c r="AI397" s="47"/>
      <c r="AJ397" s="47"/>
      <c r="AK397" s="47"/>
      <c r="AL397" s="47"/>
      <c r="AM397" s="47"/>
      <c r="AN397" s="47"/>
      <c r="AO397" s="47"/>
      <c r="AP397" s="47"/>
      <c r="AQ397" s="47"/>
      <c r="AR397" s="47"/>
      <c r="AS397" s="47"/>
      <c r="AT397" s="47"/>
      <c r="AU397" s="47"/>
      <c r="AV397" s="47"/>
      <c r="AW397" s="47"/>
      <c r="AX397" s="47"/>
      <c r="AY397" s="47"/>
      <c r="AZ397" s="47"/>
      <c r="BA397" s="47"/>
      <c r="BB397" s="47"/>
      <c r="BC397" s="47"/>
      <c r="BD397" s="47"/>
      <c r="BE397" s="47"/>
      <c r="BF397" s="47"/>
      <c r="BG397" s="47"/>
      <c r="BH397" s="47"/>
      <c r="BI397" s="47"/>
      <c r="BJ397" s="47"/>
      <c r="BK397" s="47"/>
      <c r="BL397" s="47"/>
      <c r="BM397" s="47"/>
      <c r="BN397" s="47"/>
      <c r="BO397" s="47"/>
      <c r="BP397" s="47"/>
      <c r="BQ397" s="47"/>
      <c r="BR397" s="47"/>
      <c r="BS397" s="47"/>
      <c r="BT397" s="47"/>
      <c r="BU397" s="47"/>
      <c r="BV397" s="47"/>
      <c r="BW397" s="47"/>
    </row>
    <row r="398" ht="21.0" customHeight="1">
      <c r="A398" s="43"/>
      <c r="B398" s="30" t="s">
        <v>368</v>
      </c>
      <c r="C398" s="26">
        <f>vlookup(B398,'재고 백업'!$A:$B,2,0)</f>
        <v>120</v>
      </c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  <c r="AG398" s="47"/>
      <c r="AH398" s="47"/>
      <c r="AI398" s="47"/>
      <c r="AJ398" s="47"/>
      <c r="AK398" s="47"/>
      <c r="AL398" s="47"/>
      <c r="AM398" s="47"/>
      <c r="AN398" s="47"/>
      <c r="AO398" s="47"/>
      <c r="AP398" s="47"/>
      <c r="AQ398" s="47"/>
      <c r="AR398" s="47"/>
      <c r="AS398" s="47"/>
      <c r="AT398" s="47"/>
      <c r="AU398" s="47"/>
      <c r="AV398" s="47"/>
      <c r="AW398" s="47"/>
      <c r="AX398" s="47"/>
      <c r="AY398" s="47"/>
      <c r="AZ398" s="47"/>
      <c r="BA398" s="47"/>
      <c r="BB398" s="47"/>
      <c r="BC398" s="47"/>
      <c r="BD398" s="47"/>
      <c r="BE398" s="47"/>
      <c r="BF398" s="47"/>
      <c r="BG398" s="47"/>
      <c r="BH398" s="47"/>
      <c r="BI398" s="47"/>
      <c r="BJ398" s="47"/>
      <c r="BK398" s="47"/>
      <c r="BL398" s="47"/>
      <c r="BM398" s="47"/>
      <c r="BN398" s="47"/>
      <c r="BO398" s="47"/>
      <c r="BP398" s="47"/>
      <c r="BQ398" s="47"/>
      <c r="BR398" s="47"/>
      <c r="BS398" s="47"/>
      <c r="BT398" s="47"/>
      <c r="BU398" s="47"/>
      <c r="BV398" s="47"/>
      <c r="BW398" s="47"/>
    </row>
    <row r="399" ht="21.0" customHeight="1">
      <c r="A399" s="43"/>
      <c r="B399" s="30" t="s">
        <v>369</v>
      </c>
      <c r="C399" s="26">
        <f>vlookup(B399,'재고 백업'!$A:$B,2,0)</f>
        <v>77</v>
      </c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  <c r="AG399" s="47"/>
      <c r="AH399" s="47"/>
      <c r="AI399" s="47"/>
      <c r="AJ399" s="47"/>
      <c r="AK399" s="47"/>
      <c r="AL399" s="47"/>
      <c r="AM399" s="47"/>
      <c r="AN399" s="47"/>
      <c r="AO399" s="47"/>
      <c r="AP399" s="47"/>
      <c r="AQ399" s="47"/>
      <c r="AR399" s="47"/>
      <c r="AS399" s="47"/>
      <c r="AT399" s="47"/>
      <c r="AU399" s="47"/>
      <c r="AV399" s="47"/>
      <c r="AW399" s="47"/>
      <c r="AX399" s="47"/>
      <c r="AY399" s="47"/>
      <c r="AZ399" s="47"/>
      <c r="BA399" s="47"/>
      <c r="BB399" s="47"/>
      <c r="BC399" s="47"/>
      <c r="BD399" s="47"/>
      <c r="BE399" s="47"/>
      <c r="BF399" s="47"/>
      <c r="BG399" s="47"/>
      <c r="BH399" s="47"/>
      <c r="BI399" s="47"/>
      <c r="BJ399" s="47"/>
      <c r="BK399" s="47"/>
      <c r="BL399" s="47"/>
      <c r="BM399" s="47"/>
      <c r="BN399" s="47"/>
      <c r="BO399" s="47"/>
      <c r="BP399" s="47"/>
      <c r="BQ399" s="47"/>
      <c r="BR399" s="47"/>
      <c r="BS399" s="47"/>
      <c r="BT399" s="47"/>
      <c r="BU399" s="47"/>
      <c r="BV399" s="47"/>
      <c r="BW399" s="47"/>
    </row>
    <row r="400" ht="21.0" customHeight="1">
      <c r="A400" s="12"/>
      <c r="B400" s="30" t="s">
        <v>370</v>
      </c>
      <c r="C400" s="26">
        <f>vlookup(B400,'재고 백업'!$A:$B,2,0)</f>
        <v>683</v>
      </c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  <c r="AG400" s="47"/>
      <c r="AH400" s="47"/>
      <c r="AI400" s="47"/>
      <c r="AJ400" s="47"/>
      <c r="AK400" s="47"/>
      <c r="AL400" s="47"/>
      <c r="AM400" s="47"/>
      <c r="AN400" s="47"/>
      <c r="AO400" s="47"/>
      <c r="AP400" s="47"/>
      <c r="AQ400" s="47"/>
      <c r="AR400" s="47"/>
      <c r="AS400" s="47"/>
      <c r="AT400" s="47"/>
      <c r="AU400" s="47"/>
      <c r="AV400" s="47"/>
      <c r="AW400" s="47"/>
      <c r="AX400" s="47"/>
      <c r="AY400" s="47"/>
      <c r="AZ400" s="47"/>
      <c r="BA400" s="47"/>
      <c r="BB400" s="47"/>
      <c r="BC400" s="47"/>
      <c r="BD400" s="47"/>
      <c r="BE400" s="47"/>
      <c r="BF400" s="47"/>
      <c r="BG400" s="47"/>
      <c r="BH400" s="47"/>
      <c r="BI400" s="47"/>
      <c r="BJ400" s="47"/>
      <c r="BK400" s="47"/>
      <c r="BL400" s="47"/>
      <c r="BM400" s="47"/>
      <c r="BN400" s="47"/>
      <c r="BO400" s="47"/>
      <c r="BP400" s="47"/>
      <c r="BQ400" s="47"/>
      <c r="BR400" s="47"/>
      <c r="BS400" s="47"/>
      <c r="BT400" s="47"/>
      <c r="BU400" s="47"/>
      <c r="BV400" s="47"/>
      <c r="BW400" s="47"/>
    </row>
    <row r="401" ht="21.0" customHeight="1">
      <c r="A401" s="12"/>
      <c r="B401" s="30" t="s">
        <v>371</v>
      </c>
      <c r="C401" s="26">
        <f>vlookup(B401,'재고 백업'!$A:$B,2,0)</f>
        <v>48</v>
      </c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  <c r="AG401" s="47"/>
      <c r="AH401" s="47"/>
      <c r="AI401" s="47"/>
      <c r="AJ401" s="47"/>
      <c r="AK401" s="47"/>
      <c r="AL401" s="47"/>
      <c r="AM401" s="47"/>
      <c r="AN401" s="47"/>
      <c r="AO401" s="47"/>
      <c r="AP401" s="47"/>
      <c r="AQ401" s="47"/>
      <c r="AR401" s="47"/>
      <c r="AS401" s="47"/>
      <c r="AT401" s="47"/>
      <c r="AU401" s="47"/>
      <c r="AV401" s="47"/>
      <c r="AW401" s="47"/>
      <c r="AX401" s="47"/>
      <c r="AY401" s="47"/>
      <c r="AZ401" s="47"/>
      <c r="BA401" s="47"/>
      <c r="BB401" s="47"/>
      <c r="BC401" s="47"/>
      <c r="BD401" s="47"/>
      <c r="BE401" s="47"/>
      <c r="BF401" s="47"/>
      <c r="BG401" s="47"/>
      <c r="BH401" s="47"/>
      <c r="BI401" s="47"/>
      <c r="BJ401" s="47"/>
      <c r="BK401" s="47"/>
      <c r="BL401" s="47"/>
      <c r="BM401" s="47"/>
      <c r="BN401" s="47"/>
      <c r="BO401" s="47"/>
      <c r="BP401" s="47"/>
      <c r="BQ401" s="47"/>
      <c r="BR401" s="47"/>
      <c r="BS401" s="47"/>
      <c r="BT401" s="47"/>
      <c r="BU401" s="47"/>
      <c r="BV401" s="47"/>
      <c r="BW401" s="47"/>
    </row>
    <row r="402" ht="21.0" customHeight="1">
      <c r="A402" s="12"/>
      <c r="B402" s="30" t="s">
        <v>372</v>
      </c>
      <c r="C402" s="26">
        <f>vlookup(B402,'재고 백업'!$A:$B,2,0)</f>
        <v>76</v>
      </c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</row>
    <row r="403" ht="21.0" customHeight="1">
      <c r="A403" s="12"/>
      <c r="B403" s="30" t="s">
        <v>373</v>
      </c>
      <c r="C403" s="26">
        <f>vlookup(B403,'재고 백업'!$A:$B,2,0)</f>
        <v>107</v>
      </c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</row>
    <row r="404" ht="21.0" customHeight="1">
      <c r="A404" s="12"/>
      <c r="B404" s="30" t="s">
        <v>374</v>
      </c>
      <c r="C404" s="26">
        <f>vlookup(B404,'재고 백업'!$A:$B,2,0)</f>
        <v>31</v>
      </c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</row>
    <row r="405" ht="21.0" customHeight="1">
      <c r="A405" s="12"/>
      <c r="B405" s="33"/>
      <c r="C405" s="3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</row>
    <row r="406" ht="21.0" customHeight="1">
      <c r="A406" s="12"/>
      <c r="B406" s="35" t="s">
        <v>375</v>
      </c>
      <c r="C406" s="35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</row>
    <row r="407" ht="21.0" customHeight="1">
      <c r="A407" s="12"/>
      <c r="B407" s="36" t="s">
        <v>376</v>
      </c>
      <c r="C407" s="26">
        <f>vlookup(B407,'재고 백업'!$A:$B,2,0)</f>
        <v>220</v>
      </c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</row>
    <row r="408" ht="21.0" customHeight="1">
      <c r="A408" s="12"/>
      <c r="B408" s="36" t="s">
        <v>377</v>
      </c>
      <c r="C408" s="26" t="str">
        <f>vlookup(B408,'재고 백업'!$A:$B,2,0)</f>
        <v>-</v>
      </c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</row>
    <row r="409" ht="21.0" customHeight="1">
      <c r="A409" s="12"/>
      <c r="B409" s="36" t="s">
        <v>378</v>
      </c>
      <c r="C409" s="26">
        <f>vlookup(B409,'재고 백업'!$A:$B,2,0)</f>
        <v>190</v>
      </c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</row>
    <row r="410" ht="21.0" customHeight="1">
      <c r="A410" s="12"/>
      <c r="B410" s="36" t="s">
        <v>379</v>
      </c>
      <c r="C410" s="26">
        <f>vlookup(B410,'재고 백업'!$A:$B,2,0)</f>
        <v>289</v>
      </c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</row>
    <row r="411" ht="21.0" customHeight="1">
      <c r="A411" s="12"/>
      <c r="B411" s="36" t="s">
        <v>380</v>
      </c>
      <c r="C411" s="26">
        <f>vlookup(B411,'재고 백업'!$A:$B,2,0)</f>
        <v>134</v>
      </c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</row>
    <row r="412" ht="21.0" customHeight="1">
      <c r="A412" s="12"/>
      <c r="B412" s="33"/>
      <c r="C412" s="3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</row>
    <row r="413" ht="21.0" customHeight="1">
      <c r="A413" s="12"/>
      <c r="B413" s="35" t="s">
        <v>381</v>
      </c>
      <c r="C413" s="35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</row>
    <row r="414" ht="21.0" customHeight="1">
      <c r="A414" s="12"/>
      <c r="B414" s="52" t="s">
        <v>382</v>
      </c>
      <c r="C414" s="26">
        <f>vlookup(B414,'재고 백업'!$A:$B,2,0)</f>
        <v>24</v>
      </c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</row>
    <row r="415" ht="21.0" customHeight="1">
      <c r="A415" s="12"/>
      <c r="B415" s="52" t="s">
        <v>383</v>
      </c>
      <c r="C415" s="26">
        <f>vlookup(B415,'재고 백업'!$A:$B,2,0)</f>
        <v>8</v>
      </c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</row>
    <row r="416" ht="21.0" customHeight="1">
      <c r="A416" s="12"/>
      <c r="B416" s="52" t="s">
        <v>384</v>
      </c>
      <c r="C416" s="26">
        <f>vlookup(B416,'재고 백업'!$A:$B,2,0)</f>
        <v>8</v>
      </c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</row>
    <row r="417" ht="21.0" customHeight="1">
      <c r="A417" s="12"/>
      <c r="B417" s="52" t="s">
        <v>385</v>
      </c>
      <c r="C417" s="26">
        <f>vlookup(B417,'재고 백업'!$A:$B,2,0)</f>
        <v>20</v>
      </c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</row>
    <row r="418" ht="21.0" customHeight="1">
      <c r="A418" s="12"/>
      <c r="B418" s="52" t="s">
        <v>386</v>
      </c>
      <c r="C418" s="26">
        <f>vlookup(B418,'재고 백업'!$A:$B,2,0)</f>
        <v>12</v>
      </c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</row>
    <row r="419" ht="21.0" customHeight="1">
      <c r="A419" s="12"/>
      <c r="B419" s="52" t="s">
        <v>387</v>
      </c>
      <c r="C419" s="26">
        <f>vlookup(B419,'재고 백업'!$A:$B,2,0)</f>
        <v>2</v>
      </c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</row>
    <row r="420" ht="21.0" customHeight="1">
      <c r="A420" s="12"/>
      <c r="B420" s="52" t="s">
        <v>388</v>
      </c>
      <c r="C420" s="26">
        <f>vlookup(B420,'재고 백업'!$A:$B,2,0)</f>
        <v>168</v>
      </c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</row>
    <row r="421" ht="21.0" customHeight="1">
      <c r="A421" s="12"/>
      <c r="B421" s="52" t="s">
        <v>389</v>
      </c>
      <c r="C421" s="26">
        <f>vlookup(B421,'재고 백업'!$A:$B,2,0)</f>
        <v>33</v>
      </c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</row>
    <row r="422" ht="21.0" customHeight="1">
      <c r="A422" s="12"/>
      <c r="B422" s="52" t="s">
        <v>390</v>
      </c>
      <c r="C422" s="26" t="str">
        <f>vlookup(B422,'재고 백업'!$A:$B,2,0)</f>
        <v>-</v>
      </c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</row>
    <row r="423" ht="21.0" customHeight="1">
      <c r="A423" s="12"/>
      <c r="B423" s="52" t="s">
        <v>391</v>
      </c>
      <c r="C423" s="26">
        <f>vlookup(B423,'재고 백업'!$A:$B,2,0)</f>
        <v>3</v>
      </c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</row>
    <row r="424" ht="21.0" customHeight="1">
      <c r="A424" s="12"/>
      <c r="B424" s="52" t="s">
        <v>392</v>
      </c>
      <c r="C424" s="26" t="str">
        <f>vlookup(B424,'재고 백업'!$A:$B,2,0)</f>
        <v>-</v>
      </c>
      <c r="D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</row>
    <row r="425" ht="21.0" customHeight="1">
      <c r="A425" s="12"/>
      <c r="B425" s="52" t="s">
        <v>393</v>
      </c>
      <c r="C425" s="26">
        <f>vlookup(B425,'재고 백업'!$A:$B,2,0)</f>
        <v>3</v>
      </c>
      <c r="D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</row>
    <row r="426" ht="21.0" customHeight="1">
      <c r="A426" s="12"/>
      <c r="B426" s="50"/>
      <c r="C426" s="50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</row>
    <row r="427" ht="21.0" customHeight="1">
      <c r="A427" s="12"/>
      <c r="B427" s="35" t="s">
        <v>394</v>
      </c>
      <c r="C427" s="35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</row>
    <row r="428" ht="21.0" customHeight="1">
      <c r="A428" s="12"/>
      <c r="B428" s="52" t="s">
        <v>395</v>
      </c>
      <c r="C428" s="26">
        <f>vlookup(B428,'재고 백업'!$A:$B,2,0)</f>
        <v>71</v>
      </c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</row>
    <row r="429" ht="21.0" customHeight="1">
      <c r="A429" s="12"/>
      <c r="B429" s="52" t="s">
        <v>396</v>
      </c>
      <c r="C429" s="26">
        <f>vlookup(B429,'재고 백업'!$A:$B,2,0)</f>
        <v>433</v>
      </c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</row>
    <row r="430" ht="21.0" customHeight="1">
      <c r="A430" s="12"/>
      <c r="B430" s="52" t="s">
        <v>397</v>
      </c>
      <c r="C430" s="26" t="str">
        <f>vlookup(B430,'재고 백업'!$A:$B,2,0)</f>
        <v>-</v>
      </c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</row>
    <row r="431" ht="21.0" customHeight="1">
      <c r="A431" s="12"/>
      <c r="B431" s="52" t="s">
        <v>398</v>
      </c>
      <c r="C431" s="26">
        <f>vlookup(B431,'재고 백업'!$A:$B,2,0)</f>
        <v>444</v>
      </c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  <c r="AG431" s="47"/>
      <c r="AH431" s="47"/>
      <c r="AI431" s="47"/>
      <c r="AJ431" s="47"/>
      <c r="AK431" s="47"/>
      <c r="AL431" s="47"/>
      <c r="AM431" s="47"/>
      <c r="AN431" s="47"/>
      <c r="AO431" s="47"/>
      <c r="AP431" s="47"/>
      <c r="AQ431" s="47"/>
      <c r="AR431" s="47"/>
      <c r="AS431" s="47"/>
      <c r="AT431" s="47"/>
      <c r="AU431" s="47"/>
      <c r="AV431" s="47"/>
      <c r="AW431" s="47"/>
      <c r="AX431" s="47"/>
      <c r="AY431" s="47"/>
      <c r="AZ431" s="47"/>
      <c r="BA431" s="47"/>
      <c r="BB431" s="47"/>
      <c r="BC431" s="47"/>
      <c r="BD431" s="47"/>
      <c r="BE431" s="47"/>
      <c r="BF431" s="47"/>
      <c r="BG431" s="47"/>
      <c r="BH431" s="47"/>
      <c r="BI431" s="47"/>
      <c r="BJ431" s="47"/>
      <c r="BK431" s="47"/>
      <c r="BL431" s="47"/>
      <c r="BM431" s="47"/>
      <c r="BN431" s="47"/>
      <c r="BO431" s="47"/>
      <c r="BP431" s="47"/>
      <c r="BQ431" s="47"/>
      <c r="BR431" s="47"/>
      <c r="BS431" s="47"/>
      <c r="BT431" s="47"/>
      <c r="BU431" s="47"/>
      <c r="BV431" s="47"/>
      <c r="BW431" s="47"/>
    </row>
    <row r="432" ht="21.0" customHeight="1">
      <c r="A432" s="12"/>
      <c r="B432" s="52" t="s">
        <v>399</v>
      </c>
      <c r="C432" s="26">
        <f>vlookup(B432,'재고 백업'!$A:$B,2,0)</f>
        <v>346</v>
      </c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</row>
    <row r="433" ht="21.0" customHeight="1">
      <c r="A433" s="12"/>
      <c r="B433" s="52" t="s">
        <v>400</v>
      </c>
      <c r="C433" s="26">
        <f>vlookup(B433,'재고 백업'!$A:$B,2,0)</f>
        <v>220</v>
      </c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</row>
    <row r="434" ht="21.0" customHeight="1">
      <c r="A434" s="12"/>
      <c r="B434" s="52" t="s">
        <v>401</v>
      </c>
      <c r="C434" s="26">
        <f>vlookup(B434,'재고 백업'!$A:$B,2,0)</f>
        <v>14</v>
      </c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</row>
    <row r="435" ht="21.0" customHeight="1">
      <c r="A435" s="12"/>
      <c r="B435" s="52" t="s">
        <v>402</v>
      </c>
      <c r="C435" s="26">
        <f>vlookup(B435,'재고 백업'!$A:$B,2,0)</f>
        <v>41</v>
      </c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</row>
    <row r="436" ht="21.0" customHeight="1">
      <c r="A436" s="12"/>
      <c r="B436" s="52" t="s">
        <v>403</v>
      </c>
      <c r="C436" s="26">
        <f>vlookup(B436,'재고 백업'!$A:$B,2,0)</f>
        <v>203</v>
      </c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</row>
    <row r="437" ht="21.0" customHeight="1">
      <c r="A437" s="12"/>
      <c r="B437" s="52" t="s">
        <v>404</v>
      </c>
      <c r="C437" s="26" t="str">
        <f>vlookup(B437,'재고 백업'!$A:$B,2,0)</f>
        <v>-</v>
      </c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</row>
    <row r="438" ht="21.0" customHeight="1">
      <c r="A438" s="12"/>
      <c r="B438" s="50"/>
      <c r="C438" s="50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</row>
    <row r="439" ht="21.0" customHeight="1">
      <c r="A439" s="12"/>
      <c r="B439" s="53" t="s">
        <v>405</v>
      </c>
      <c r="C439" s="53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</row>
    <row r="440" ht="21.0" customHeight="1">
      <c r="A440" s="12"/>
      <c r="B440" s="21" t="s">
        <v>406</v>
      </c>
      <c r="C440" s="26" t="str">
        <f>vlookup(B440,'재고 백업'!$A:$B,2,0)</f>
        <v>-</v>
      </c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</row>
    <row r="441" ht="21.0" customHeight="1">
      <c r="A441" s="12"/>
      <c r="B441" s="50"/>
      <c r="C441" s="50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</row>
    <row r="442" ht="21.0" customHeight="1">
      <c r="A442" s="12"/>
      <c r="B442" s="53" t="s">
        <v>407</v>
      </c>
      <c r="C442" s="53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</row>
    <row r="443" ht="21.0" customHeight="1">
      <c r="A443" s="12"/>
      <c r="B443" s="21" t="s">
        <v>408</v>
      </c>
      <c r="C443" s="26" t="str">
        <f>vlookup(B443,'재고 백업'!$A:$B,2,0)</f>
        <v>-</v>
      </c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</row>
    <row r="444" ht="21.0" customHeight="1">
      <c r="A444" s="12"/>
      <c r="B444" s="21" t="s">
        <v>409</v>
      </c>
      <c r="C444" s="26" t="str">
        <f>vlookup(B444,'재고 백업'!$A:$B,2,0)</f>
        <v>-</v>
      </c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</row>
    <row r="445" ht="21.0" customHeight="1">
      <c r="A445" s="12"/>
      <c r="B445" s="54" t="s">
        <v>410</v>
      </c>
      <c r="C445" s="26" t="str">
        <f>vlookup(B445,'재고 백업'!$A:$B,2,0)</f>
        <v>-</v>
      </c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</row>
    <row r="446" ht="21.0" customHeight="1">
      <c r="A446" s="12"/>
      <c r="B446" s="50"/>
      <c r="C446" s="50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</row>
    <row r="447" ht="21.0" customHeight="1">
      <c r="A447" s="12"/>
      <c r="B447" s="53" t="s">
        <v>411</v>
      </c>
      <c r="C447" s="53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</row>
    <row r="448" ht="21.0" customHeight="1">
      <c r="A448" s="12"/>
      <c r="B448" s="52" t="s">
        <v>412</v>
      </c>
      <c r="C448" s="26">
        <f>vlookup(B448,'재고 백업'!$A:$B,2,0)</f>
        <v>1</v>
      </c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44"/>
      <c r="BP448" s="44"/>
      <c r="BQ448" s="44"/>
      <c r="BR448" s="44"/>
      <c r="BS448" s="44"/>
      <c r="BT448" s="44"/>
      <c r="BU448" s="44"/>
      <c r="BV448" s="44"/>
      <c r="BW448" s="44"/>
    </row>
    <row r="449" ht="21.0" customHeight="1">
      <c r="A449" s="12"/>
      <c r="B449" s="50"/>
      <c r="C449" s="50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44"/>
      <c r="BP449" s="44"/>
      <c r="BQ449" s="44"/>
      <c r="BR449" s="44"/>
      <c r="BS449" s="44"/>
      <c r="BT449" s="44"/>
      <c r="BU449" s="44"/>
      <c r="BV449" s="44"/>
      <c r="BW449" s="44"/>
    </row>
    <row r="450" ht="21.0" customHeight="1">
      <c r="A450" s="12"/>
      <c r="B450" s="35" t="s">
        <v>413</v>
      </c>
      <c r="C450" s="35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44"/>
      <c r="BP450" s="44"/>
      <c r="BQ450" s="44"/>
      <c r="BR450" s="44"/>
      <c r="BS450" s="44"/>
      <c r="BT450" s="44"/>
      <c r="BU450" s="44"/>
      <c r="BV450" s="44"/>
      <c r="BW450" s="44"/>
    </row>
    <row r="451" ht="21.0" customHeight="1">
      <c r="A451" s="12"/>
      <c r="B451" s="52" t="s">
        <v>414</v>
      </c>
      <c r="C451" s="26">
        <f>vlookup(B451,'재고 백업'!$A:$B,2,0)</f>
        <v>33</v>
      </c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</row>
    <row r="452" ht="21.0" customHeight="1">
      <c r="A452" s="12"/>
      <c r="B452" s="52" t="s">
        <v>415</v>
      </c>
      <c r="C452" s="26">
        <f>vlookup(B452,'재고 백업'!$A:$B,2,0)</f>
        <v>45</v>
      </c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</row>
    <row r="453" ht="21.0" customHeight="1">
      <c r="A453" s="12"/>
      <c r="B453" s="52" t="s">
        <v>416</v>
      </c>
      <c r="C453" s="26">
        <f>vlookup(B453,'재고 백업'!$A:$B,2,0)</f>
        <v>26</v>
      </c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  <c r="AG453" s="47"/>
      <c r="AH453" s="47"/>
      <c r="AI453" s="47"/>
      <c r="AJ453" s="47"/>
      <c r="AK453" s="47"/>
      <c r="AL453" s="47"/>
      <c r="AM453" s="47"/>
      <c r="AN453" s="47"/>
      <c r="AO453" s="47"/>
      <c r="AP453" s="47"/>
      <c r="AQ453" s="47"/>
      <c r="AR453" s="47"/>
      <c r="AS453" s="47"/>
      <c r="AT453" s="47"/>
      <c r="AU453" s="47"/>
      <c r="AV453" s="47"/>
      <c r="AW453" s="47"/>
      <c r="AX453" s="47"/>
      <c r="AY453" s="47"/>
      <c r="AZ453" s="47"/>
      <c r="BA453" s="47"/>
      <c r="BB453" s="47"/>
      <c r="BC453" s="47"/>
      <c r="BD453" s="47"/>
      <c r="BE453" s="47"/>
      <c r="BF453" s="47"/>
      <c r="BG453" s="47"/>
      <c r="BH453" s="47"/>
      <c r="BI453" s="47"/>
      <c r="BJ453" s="47"/>
      <c r="BK453" s="47"/>
      <c r="BL453" s="47"/>
      <c r="BM453" s="47"/>
      <c r="BN453" s="47"/>
      <c r="BO453" s="47"/>
      <c r="BP453" s="47"/>
      <c r="BQ453" s="47"/>
      <c r="BR453" s="47"/>
      <c r="BS453" s="47"/>
      <c r="BT453" s="47"/>
      <c r="BU453" s="47"/>
      <c r="BV453" s="47"/>
      <c r="BW453" s="47"/>
    </row>
    <row r="454" ht="21.0" customHeight="1">
      <c r="A454" s="12"/>
      <c r="B454" s="52" t="s">
        <v>417</v>
      </c>
      <c r="C454" s="26">
        <f>vlookup(B454,'재고 백업'!$A:$B,2,0)</f>
        <v>30</v>
      </c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</row>
    <row r="455" ht="21.0" customHeight="1">
      <c r="A455" s="43"/>
      <c r="B455" s="52" t="s">
        <v>418</v>
      </c>
      <c r="C455" s="26">
        <f>vlookup(B455,'재고 백업'!$A:$B,2,0)</f>
        <v>6</v>
      </c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</row>
    <row r="456" ht="21.0" customHeight="1">
      <c r="A456" s="43"/>
      <c r="B456" s="52" t="s">
        <v>419</v>
      </c>
      <c r="C456" s="26">
        <f>vlookup(B456,'재고 백업'!$A:$B,2,0)</f>
        <v>6</v>
      </c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</row>
    <row r="457" ht="21.0" customHeight="1">
      <c r="A457" s="43"/>
      <c r="B457" s="52" t="s">
        <v>420</v>
      </c>
      <c r="C457" s="26">
        <f>vlookup(B457,'재고 백업'!$A:$B,2,0)</f>
        <v>16</v>
      </c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</row>
    <row r="458" ht="21.0" customHeight="1">
      <c r="A458" s="43"/>
      <c r="B458" s="52" t="s">
        <v>421</v>
      </c>
      <c r="C458" s="26">
        <f>vlookup(B458,'재고 백업'!$A:$B,2,0)</f>
        <v>24</v>
      </c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</row>
    <row r="459" ht="21.0" customHeight="1">
      <c r="A459" s="43"/>
      <c r="B459" s="52" t="s">
        <v>422</v>
      </c>
      <c r="C459" s="21" t="str">
        <f>vlookup(B459,'재고 백업'!$A:$B,2,0)</f>
        <v>#N/A</v>
      </c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</row>
    <row r="460" ht="21.0" customHeight="1">
      <c r="A460" s="43"/>
      <c r="B460" s="52" t="s">
        <v>423</v>
      </c>
      <c r="C460" s="26" t="str">
        <f>vlookup(B460,'재고 백업'!$A:$B,2,0)</f>
        <v>-</v>
      </c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</row>
    <row r="461" ht="21.0" customHeight="1">
      <c r="A461" s="43"/>
      <c r="B461" s="52" t="s">
        <v>424</v>
      </c>
      <c r="C461" s="26">
        <f>vlookup(B461,'재고 백업'!$A:$B,2,0)</f>
        <v>2</v>
      </c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</row>
    <row r="462" ht="21.0" customHeight="1">
      <c r="A462" s="43"/>
      <c r="B462" s="52" t="s">
        <v>425</v>
      </c>
      <c r="C462" s="26">
        <f>vlookup(B462,'재고 백업'!$A:$B,2,0)</f>
        <v>16</v>
      </c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</row>
    <row r="463" ht="21.0" customHeight="1">
      <c r="A463" s="43"/>
      <c r="B463" s="52" t="s">
        <v>426</v>
      </c>
      <c r="C463" s="26">
        <f>vlookup(B463,'재고 백업'!$A:$B,2,0)</f>
        <v>9</v>
      </c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</row>
    <row r="464" ht="21.0" customHeight="1">
      <c r="A464" s="43"/>
      <c r="B464" s="52" t="s">
        <v>427</v>
      </c>
      <c r="C464" s="26">
        <f>vlookup(B464,'재고 백업'!$A:$B,2,0)</f>
        <v>12</v>
      </c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</row>
    <row r="465" ht="21.0" customHeight="1">
      <c r="A465" s="43"/>
      <c r="B465" s="52" t="s">
        <v>428</v>
      </c>
      <c r="C465" s="26">
        <f>vlookup(B465,'재고 백업'!$A:$B,2,0)</f>
        <v>10</v>
      </c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</row>
    <row r="466" ht="21.0" customHeight="1">
      <c r="A466" s="43"/>
      <c r="B466" s="52" t="s">
        <v>429</v>
      </c>
      <c r="C466" s="26" t="str">
        <f>vlookup(B466,'재고 백업'!$A:$B,2,0)</f>
        <v>-</v>
      </c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44"/>
      <c r="BP466" s="44"/>
      <c r="BQ466" s="44"/>
      <c r="BR466" s="44"/>
      <c r="BS466" s="44"/>
      <c r="BT466" s="44"/>
      <c r="BU466" s="44"/>
      <c r="BV466" s="44"/>
      <c r="BW466" s="44"/>
    </row>
    <row r="467" ht="21.0" customHeight="1">
      <c r="A467" s="43"/>
      <c r="B467" s="52" t="s">
        <v>430</v>
      </c>
      <c r="C467" s="21" t="str">
        <f>vlookup(B467,'재고 백업'!$A:$B,2,0)</f>
        <v>-</v>
      </c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</row>
    <row r="468" ht="21.0" customHeight="1">
      <c r="A468" s="43"/>
      <c r="B468" s="52" t="s">
        <v>431</v>
      </c>
      <c r="C468" s="26">
        <f>vlookup(B468,'재고 백업'!$A:$B,2,0)</f>
        <v>9</v>
      </c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</row>
    <row r="469" ht="21.0" customHeight="1">
      <c r="A469" s="43"/>
      <c r="B469" s="52" t="s">
        <v>432</v>
      </c>
      <c r="C469" s="26">
        <f>vlookup(B469,'재고 백업'!$A:$B,2,0)</f>
        <v>7</v>
      </c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</row>
    <row r="470" ht="21.0" customHeight="1">
      <c r="A470" s="43"/>
      <c r="B470" s="52" t="s">
        <v>433</v>
      </c>
      <c r="C470" s="26">
        <f>vlookup(B470,'재고 백업'!$A:$B,2,0)</f>
        <v>45</v>
      </c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</row>
    <row r="471" ht="21.0" customHeight="1">
      <c r="A471" s="43"/>
      <c r="B471" s="52" t="s">
        <v>434</v>
      </c>
      <c r="C471" s="26">
        <f>vlookup(B471,'재고 백업'!$A:$B,2,0)</f>
        <v>45</v>
      </c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44"/>
      <c r="BP471" s="44"/>
      <c r="BQ471" s="44"/>
      <c r="BR471" s="44"/>
      <c r="BS471" s="44"/>
      <c r="BT471" s="44"/>
      <c r="BU471" s="44"/>
      <c r="BV471" s="44"/>
      <c r="BW471" s="44"/>
    </row>
    <row r="472" ht="21.0" customHeight="1">
      <c r="A472" s="43"/>
      <c r="B472" s="50"/>
      <c r="C472" s="50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</row>
    <row r="473" ht="21.0" customHeight="1">
      <c r="A473" s="43"/>
      <c r="B473" s="55" t="s">
        <v>435</v>
      </c>
      <c r="C473" s="56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</row>
    <row r="474" ht="21.0" customHeight="1">
      <c r="A474" s="43"/>
      <c r="B474" s="52" t="s">
        <v>436</v>
      </c>
      <c r="C474" s="26">
        <f>vlookup(B474,'재고 백업'!$A:$B,2,0)</f>
        <v>14</v>
      </c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</row>
    <row r="475" ht="21.0" customHeight="1">
      <c r="A475" s="43"/>
      <c r="B475" s="50"/>
      <c r="C475" s="50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</row>
    <row r="476" ht="21.0" customHeight="1">
      <c r="A476" s="43"/>
      <c r="B476" s="35" t="s">
        <v>437</v>
      </c>
      <c r="C476" s="57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</row>
    <row r="477" ht="21.0" customHeight="1">
      <c r="A477" s="43"/>
      <c r="B477" s="52" t="s">
        <v>438</v>
      </c>
      <c r="C477" s="26">
        <f>vlookup(B477,'재고 백업'!$A:$B,2,0)</f>
        <v>73</v>
      </c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</row>
    <row r="478" ht="21.0" customHeight="1">
      <c r="A478" s="43"/>
      <c r="B478" s="52" t="s">
        <v>439</v>
      </c>
      <c r="C478" s="26" t="str">
        <f>vlookup(B478,'재고 백업'!$A:$B,2,0)</f>
        <v>-</v>
      </c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</row>
    <row r="479" ht="21.0" customHeight="1">
      <c r="A479" s="43"/>
      <c r="B479" s="52" t="s">
        <v>440</v>
      </c>
      <c r="C479" s="26">
        <f>vlookup(B479,'재고 백업'!$A:$B,2,0)</f>
        <v>5</v>
      </c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</row>
    <row r="480" ht="21.0" customHeight="1">
      <c r="A480" s="43"/>
      <c r="B480" s="50"/>
      <c r="C480" s="50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</row>
    <row r="481" ht="21.0" customHeight="1">
      <c r="A481" s="43"/>
      <c r="B481" s="58" t="s">
        <v>441</v>
      </c>
      <c r="C481" s="59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</row>
    <row r="482" ht="21.0" customHeight="1">
      <c r="A482" s="43"/>
      <c r="B482" s="52" t="s">
        <v>442</v>
      </c>
      <c r="C482" s="26">
        <f>vlookup(B482,'재고 백업'!$A:$B,2,0)</f>
        <v>10</v>
      </c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  <c r="AG482" s="47"/>
      <c r="AH482" s="47"/>
      <c r="AI482" s="47"/>
      <c r="AJ482" s="47"/>
      <c r="AK482" s="47"/>
      <c r="AL482" s="47"/>
      <c r="AM482" s="47"/>
      <c r="AN482" s="47"/>
      <c r="AO482" s="47"/>
      <c r="AP482" s="47"/>
      <c r="AQ482" s="47"/>
      <c r="AR482" s="47"/>
      <c r="AS482" s="47"/>
      <c r="AT482" s="47"/>
      <c r="AU482" s="47"/>
      <c r="AV482" s="47"/>
      <c r="AW482" s="47"/>
      <c r="AX482" s="47"/>
      <c r="AY482" s="47"/>
      <c r="AZ482" s="47"/>
      <c r="BA482" s="47"/>
      <c r="BB482" s="47"/>
      <c r="BC482" s="47"/>
      <c r="BD482" s="47"/>
      <c r="BE482" s="47"/>
      <c r="BF482" s="47"/>
      <c r="BG482" s="47"/>
      <c r="BH482" s="47"/>
      <c r="BI482" s="47"/>
      <c r="BJ482" s="47"/>
      <c r="BK482" s="47"/>
      <c r="BL482" s="47"/>
      <c r="BM482" s="47"/>
      <c r="BN482" s="47"/>
      <c r="BO482" s="47"/>
      <c r="BP482" s="47"/>
      <c r="BQ482" s="47"/>
      <c r="BR482" s="47"/>
      <c r="BS482" s="47"/>
      <c r="BT482" s="47"/>
      <c r="BU482" s="47"/>
      <c r="BV482" s="47"/>
      <c r="BW482" s="47"/>
    </row>
    <row r="483" ht="21.0" customHeight="1">
      <c r="A483" s="12"/>
      <c r="B483" s="50"/>
      <c r="C483" s="50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  <c r="AG483" s="47"/>
      <c r="AH483" s="47"/>
      <c r="AI483" s="47"/>
      <c r="AJ483" s="47"/>
      <c r="AK483" s="47"/>
      <c r="AL483" s="47"/>
      <c r="AM483" s="47"/>
      <c r="AN483" s="47"/>
      <c r="AO483" s="47"/>
      <c r="AP483" s="47"/>
      <c r="AQ483" s="47"/>
      <c r="AR483" s="47"/>
      <c r="AS483" s="47"/>
      <c r="AT483" s="47"/>
      <c r="AU483" s="47"/>
      <c r="AV483" s="47"/>
      <c r="AW483" s="47"/>
      <c r="AX483" s="47"/>
      <c r="AY483" s="47"/>
      <c r="AZ483" s="47"/>
      <c r="BA483" s="47"/>
      <c r="BB483" s="47"/>
      <c r="BC483" s="47"/>
      <c r="BD483" s="47"/>
      <c r="BE483" s="47"/>
      <c r="BF483" s="47"/>
      <c r="BG483" s="47"/>
      <c r="BH483" s="47"/>
      <c r="BI483" s="47"/>
      <c r="BJ483" s="47"/>
      <c r="BK483" s="47"/>
      <c r="BL483" s="47"/>
      <c r="BM483" s="47"/>
      <c r="BN483" s="47"/>
      <c r="BO483" s="47"/>
      <c r="BP483" s="47"/>
      <c r="BQ483" s="47"/>
      <c r="BR483" s="47"/>
      <c r="BS483" s="47"/>
      <c r="BT483" s="47"/>
      <c r="BU483" s="47"/>
      <c r="BV483" s="47"/>
      <c r="BW483" s="47"/>
    </row>
    <row r="484" ht="21.0" customHeight="1">
      <c r="A484" s="43"/>
      <c r="B484" s="60" t="s">
        <v>443</v>
      </c>
      <c r="C484" s="61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  <c r="AG484" s="47"/>
      <c r="AH484" s="47"/>
      <c r="AI484" s="47"/>
      <c r="AJ484" s="47"/>
      <c r="AK484" s="47"/>
      <c r="AL484" s="47"/>
      <c r="AM484" s="47"/>
      <c r="AN484" s="47"/>
      <c r="AO484" s="47"/>
      <c r="AP484" s="47"/>
      <c r="AQ484" s="47"/>
      <c r="AR484" s="47"/>
      <c r="AS484" s="47"/>
      <c r="AT484" s="47"/>
      <c r="AU484" s="47"/>
      <c r="AV484" s="47"/>
      <c r="AW484" s="47"/>
      <c r="AX484" s="47"/>
      <c r="AY484" s="47"/>
      <c r="AZ484" s="47"/>
      <c r="BA484" s="47"/>
      <c r="BB484" s="47"/>
      <c r="BC484" s="47"/>
      <c r="BD484" s="47"/>
      <c r="BE484" s="47"/>
      <c r="BF484" s="47"/>
      <c r="BG484" s="47"/>
      <c r="BH484" s="47"/>
      <c r="BI484" s="47"/>
      <c r="BJ484" s="47"/>
      <c r="BK484" s="47"/>
      <c r="BL484" s="47"/>
      <c r="BM484" s="47"/>
      <c r="BN484" s="47"/>
      <c r="BO484" s="47"/>
      <c r="BP484" s="47"/>
      <c r="BQ484" s="47"/>
      <c r="BR484" s="47"/>
      <c r="BS484" s="47"/>
      <c r="BT484" s="47"/>
      <c r="BU484" s="47"/>
      <c r="BV484" s="47"/>
      <c r="BW484" s="47"/>
    </row>
    <row r="485" ht="21.0" customHeight="1">
      <c r="A485" s="43"/>
      <c r="B485" s="52" t="s">
        <v>444</v>
      </c>
      <c r="C485" s="26">
        <f>vlookup(B485,'재고 백업'!$A:$B,2,0)</f>
        <v>60</v>
      </c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  <c r="AG485" s="47"/>
      <c r="AH485" s="47"/>
      <c r="AI485" s="47"/>
      <c r="AJ485" s="47"/>
      <c r="AK485" s="47"/>
      <c r="AL485" s="47"/>
      <c r="AM485" s="47"/>
      <c r="AN485" s="47"/>
      <c r="AO485" s="47"/>
      <c r="AP485" s="47"/>
      <c r="AQ485" s="47"/>
      <c r="AR485" s="47"/>
      <c r="AS485" s="47"/>
      <c r="AT485" s="47"/>
      <c r="AU485" s="47"/>
      <c r="AV485" s="47"/>
      <c r="AW485" s="47"/>
      <c r="AX485" s="47"/>
      <c r="AY485" s="47"/>
      <c r="AZ485" s="47"/>
      <c r="BA485" s="47"/>
      <c r="BB485" s="47"/>
      <c r="BC485" s="47"/>
      <c r="BD485" s="47"/>
      <c r="BE485" s="47"/>
      <c r="BF485" s="47"/>
      <c r="BG485" s="47"/>
      <c r="BH485" s="47"/>
      <c r="BI485" s="47"/>
      <c r="BJ485" s="47"/>
      <c r="BK485" s="47"/>
      <c r="BL485" s="47"/>
      <c r="BM485" s="47"/>
      <c r="BN485" s="47"/>
      <c r="BO485" s="47"/>
      <c r="BP485" s="47"/>
      <c r="BQ485" s="47"/>
      <c r="BR485" s="47"/>
      <c r="BS485" s="47"/>
      <c r="BT485" s="47"/>
      <c r="BU485" s="47"/>
      <c r="BV485" s="47"/>
      <c r="BW485" s="47"/>
    </row>
    <row r="486" ht="21.0" customHeight="1">
      <c r="A486" s="43"/>
      <c r="B486" s="50"/>
      <c r="C486" s="50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  <c r="AG486" s="47"/>
      <c r="AH486" s="47"/>
      <c r="AI486" s="47"/>
      <c r="AJ486" s="47"/>
      <c r="AK486" s="47"/>
      <c r="AL486" s="47"/>
      <c r="AM486" s="47"/>
      <c r="AN486" s="47"/>
      <c r="AO486" s="47"/>
      <c r="AP486" s="47"/>
      <c r="AQ486" s="47"/>
      <c r="AR486" s="47"/>
      <c r="AS486" s="47"/>
      <c r="AT486" s="47"/>
      <c r="AU486" s="47"/>
      <c r="AV486" s="47"/>
      <c r="AW486" s="47"/>
      <c r="AX486" s="47"/>
      <c r="AY486" s="47"/>
      <c r="AZ486" s="47"/>
      <c r="BA486" s="47"/>
      <c r="BB486" s="47"/>
      <c r="BC486" s="47"/>
      <c r="BD486" s="47"/>
      <c r="BE486" s="47"/>
      <c r="BF486" s="47"/>
      <c r="BG486" s="47"/>
      <c r="BH486" s="47"/>
      <c r="BI486" s="47"/>
      <c r="BJ486" s="47"/>
      <c r="BK486" s="47"/>
      <c r="BL486" s="47"/>
      <c r="BM486" s="47"/>
      <c r="BN486" s="47"/>
      <c r="BO486" s="47"/>
      <c r="BP486" s="47"/>
      <c r="BQ486" s="47"/>
      <c r="BR486" s="47"/>
      <c r="BS486" s="47"/>
      <c r="BT486" s="47"/>
      <c r="BU486" s="47"/>
      <c r="BV486" s="47"/>
      <c r="BW486" s="47"/>
    </row>
    <row r="487" ht="21.0" customHeight="1">
      <c r="A487" s="43"/>
      <c r="B487" s="42" t="s">
        <v>445</v>
      </c>
      <c r="C487" s="62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  <c r="AG487" s="47"/>
      <c r="AH487" s="47"/>
      <c r="AI487" s="47"/>
      <c r="AJ487" s="47"/>
      <c r="AK487" s="47"/>
      <c r="AL487" s="47"/>
      <c r="AM487" s="47"/>
      <c r="AN487" s="47"/>
      <c r="AO487" s="47"/>
      <c r="AP487" s="47"/>
      <c r="AQ487" s="47"/>
      <c r="AR487" s="47"/>
      <c r="AS487" s="47"/>
      <c r="AT487" s="47"/>
      <c r="AU487" s="47"/>
      <c r="AV487" s="47"/>
      <c r="AW487" s="47"/>
      <c r="AX487" s="47"/>
      <c r="AY487" s="47"/>
      <c r="AZ487" s="47"/>
      <c r="BA487" s="47"/>
      <c r="BB487" s="47"/>
      <c r="BC487" s="47"/>
      <c r="BD487" s="47"/>
      <c r="BE487" s="47"/>
      <c r="BF487" s="47"/>
      <c r="BG487" s="47"/>
      <c r="BH487" s="47"/>
      <c r="BI487" s="47"/>
      <c r="BJ487" s="47"/>
      <c r="BK487" s="47"/>
      <c r="BL487" s="47"/>
      <c r="BM487" s="47"/>
      <c r="BN487" s="47"/>
      <c r="BO487" s="47"/>
      <c r="BP487" s="47"/>
      <c r="BQ487" s="47"/>
      <c r="BR487" s="47"/>
      <c r="BS487" s="47"/>
      <c r="BT487" s="47"/>
      <c r="BU487" s="47"/>
      <c r="BV487" s="47"/>
      <c r="BW487" s="47"/>
    </row>
    <row r="488" ht="21.0" customHeight="1">
      <c r="A488" s="43"/>
      <c r="B488" s="52" t="s">
        <v>446</v>
      </c>
      <c r="C488" s="26" t="str">
        <f>vlookup(B488,'재고 백업'!$A:$B,2,0)</f>
        <v>-</v>
      </c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  <c r="AG488" s="47"/>
      <c r="AH488" s="47"/>
      <c r="AI488" s="47"/>
      <c r="AJ488" s="47"/>
      <c r="AK488" s="47"/>
      <c r="AL488" s="47"/>
      <c r="AM488" s="47"/>
      <c r="AN488" s="47"/>
      <c r="AO488" s="47"/>
      <c r="AP488" s="47"/>
      <c r="AQ488" s="47"/>
      <c r="AR488" s="47"/>
      <c r="AS488" s="47"/>
      <c r="AT488" s="47"/>
      <c r="AU488" s="47"/>
      <c r="AV488" s="47"/>
      <c r="AW488" s="47"/>
      <c r="AX488" s="47"/>
      <c r="AY488" s="47"/>
      <c r="AZ488" s="47"/>
      <c r="BA488" s="47"/>
      <c r="BB488" s="47"/>
      <c r="BC488" s="47"/>
      <c r="BD488" s="47"/>
      <c r="BE488" s="47"/>
      <c r="BF488" s="47"/>
      <c r="BG488" s="47"/>
      <c r="BH488" s="47"/>
      <c r="BI488" s="47"/>
      <c r="BJ488" s="47"/>
      <c r="BK488" s="47"/>
      <c r="BL488" s="47"/>
      <c r="BM488" s="47"/>
      <c r="BN488" s="47"/>
      <c r="BO488" s="47"/>
      <c r="BP488" s="47"/>
      <c r="BQ488" s="47"/>
      <c r="BR488" s="47"/>
      <c r="BS488" s="47"/>
      <c r="BT488" s="47"/>
      <c r="BU488" s="47"/>
      <c r="BV488" s="47"/>
      <c r="BW488" s="47"/>
    </row>
    <row r="489" ht="21.0" customHeight="1">
      <c r="A489" s="43"/>
      <c r="B489" s="50"/>
      <c r="C489" s="50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  <c r="AG489" s="47"/>
      <c r="AH489" s="47"/>
      <c r="AI489" s="47"/>
      <c r="AJ489" s="47"/>
      <c r="AK489" s="47"/>
      <c r="AL489" s="47"/>
      <c r="AM489" s="47"/>
      <c r="AN489" s="47"/>
      <c r="AO489" s="47"/>
      <c r="AP489" s="47"/>
      <c r="AQ489" s="47"/>
      <c r="AR489" s="47"/>
      <c r="AS489" s="47"/>
      <c r="AT489" s="47"/>
      <c r="AU489" s="47"/>
      <c r="AV489" s="47"/>
      <c r="AW489" s="47"/>
      <c r="AX489" s="47"/>
      <c r="AY489" s="47"/>
      <c r="AZ489" s="47"/>
      <c r="BA489" s="47"/>
      <c r="BB489" s="47"/>
      <c r="BC489" s="47"/>
      <c r="BD489" s="47"/>
      <c r="BE489" s="47"/>
      <c r="BF489" s="47"/>
      <c r="BG489" s="47"/>
      <c r="BH489" s="47"/>
      <c r="BI489" s="47"/>
      <c r="BJ489" s="47"/>
      <c r="BK489" s="47"/>
      <c r="BL489" s="47"/>
      <c r="BM489" s="47"/>
      <c r="BN489" s="47"/>
      <c r="BO489" s="47"/>
      <c r="BP489" s="47"/>
      <c r="BQ489" s="47"/>
      <c r="BR489" s="47"/>
      <c r="BS489" s="47"/>
      <c r="BT489" s="47"/>
      <c r="BU489" s="47"/>
      <c r="BV489" s="47"/>
      <c r="BW489" s="47"/>
    </row>
    <row r="490" ht="21.0" customHeight="1">
      <c r="A490" s="43"/>
      <c r="B490" s="35" t="s">
        <v>447</v>
      </c>
      <c r="C490" s="35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  <c r="AG490" s="47"/>
      <c r="AH490" s="47"/>
      <c r="AI490" s="47"/>
      <c r="AJ490" s="47"/>
      <c r="AK490" s="47"/>
      <c r="AL490" s="47"/>
      <c r="AM490" s="47"/>
      <c r="AN490" s="47"/>
      <c r="AO490" s="47"/>
      <c r="AP490" s="47"/>
      <c r="AQ490" s="47"/>
      <c r="AR490" s="47"/>
      <c r="AS490" s="47"/>
      <c r="AT490" s="47"/>
      <c r="AU490" s="47"/>
      <c r="AV490" s="47"/>
      <c r="AW490" s="47"/>
      <c r="AX490" s="47"/>
      <c r="AY490" s="47"/>
      <c r="AZ490" s="47"/>
      <c r="BA490" s="47"/>
      <c r="BB490" s="47"/>
      <c r="BC490" s="47"/>
      <c r="BD490" s="47"/>
      <c r="BE490" s="47"/>
      <c r="BF490" s="47"/>
      <c r="BG490" s="47"/>
      <c r="BH490" s="47"/>
      <c r="BI490" s="47"/>
      <c r="BJ490" s="47"/>
      <c r="BK490" s="47"/>
      <c r="BL490" s="47"/>
      <c r="BM490" s="47"/>
      <c r="BN490" s="47"/>
      <c r="BO490" s="47"/>
      <c r="BP490" s="47"/>
      <c r="BQ490" s="47"/>
      <c r="BR490" s="47"/>
      <c r="BS490" s="47"/>
      <c r="BT490" s="47"/>
      <c r="BU490" s="47"/>
      <c r="BV490" s="47"/>
      <c r="BW490" s="47"/>
    </row>
    <row r="491" ht="21.0" customHeight="1">
      <c r="A491" s="43"/>
      <c r="B491" s="52" t="s">
        <v>448</v>
      </c>
      <c r="C491" s="21" t="str">
        <f>vlookup(B491,'재고 백업'!$A:$B,2,0)</f>
        <v>-</v>
      </c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  <c r="AG491" s="47"/>
      <c r="AH491" s="47"/>
      <c r="AI491" s="47"/>
      <c r="AJ491" s="47"/>
      <c r="AK491" s="47"/>
      <c r="AL491" s="47"/>
      <c r="AM491" s="47"/>
      <c r="AN491" s="47"/>
      <c r="AO491" s="47"/>
      <c r="AP491" s="47"/>
      <c r="AQ491" s="47"/>
      <c r="AR491" s="47"/>
      <c r="AS491" s="47"/>
      <c r="AT491" s="47"/>
      <c r="AU491" s="47"/>
      <c r="AV491" s="47"/>
      <c r="AW491" s="47"/>
      <c r="AX491" s="47"/>
      <c r="AY491" s="47"/>
      <c r="AZ491" s="47"/>
      <c r="BA491" s="47"/>
      <c r="BB491" s="47"/>
      <c r="BC491" s="47"/>
      <c r="BD491" s="47"/>
      <c r="BE491" s="47"/>
      <c r="BF491" s="47"/>
      <c r="BG491" s="47"/>
      <c r="BH491" s="47"/>
      <c r="BI491" s="47"/>
      <c r="BJ491" s="47"/>
      <c r="BK491" s="47"/>
      <c r="BL491" s="47"/>
      <c r="BM491" s="47"/>
      <c r="BN491" s="47"/>
      <c r="BO491" s="47"/>
      <c r="BP491" s="47"/>
      <c r="BQ491" s="47"/>
      <c r="BR491" s="47"/>
      <c r="BS491" s="47"/>
      <c r="BT491" s="47"/>
      <c r="BU491" s="47"/>
      <c r="BV491" s="47"/>
      <c r="BW491" s="47"/>
    </row>
    <row r="492" ht="21.0" customHeight="1">
      <c r="A492" s="43"/>
      <c r="B492" s="52" t="s">
        <v>449</v>
      </c>
      <c r="C492" s="26">
        <f>vlookup(B492,'재고 백업'!$A:$B,2,0)</f>
        <v>20</v>
      </c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  <c r="AG492" s="47"/>
      <c r="AH492" s="47"/>
      <c r="AI492" s="47"/>
      <c r="AJ492" s="47"/>
      <c r="AK492" s="47"/>
      <c r="AL492" s="47"/>
      <c r="AM492" s="47"/>
      <c r="AN492" s="47"/>
      <c r="AO492" s="47"/>
      <c r="AP492" s="47"/>
      <c r="AQ492" s="47"/>
      <c r="AR492" s="47"/>
      <c r="AS492" s="47"/>
      <c r="AT492" s="47"/>
      <c r="AU492" s="47"/>
      <c r="AV492" s="47"/>
      <c r="AW492" s="47"/>
      <c r="AX492" s="47"/>
      <c r="AY492" s="47"/>
      <c r="AZ492" s="47"/>
      <c r="BA492" s="47"/>
      <c r="BB492" s="47"/>
      <c r="BC492" s="47"/>
      <c r="BD492" s="47"/>
      <c r="BE492" s="47"/>
      <c r="BF492" s="47"/>
      <c r="BG492" s="47"/>
      <c r="BH492" s="47"/>
      <c r="BI492" s="47"/>
      <c r="BJ492" s="47"/>
      <c r="BK492" s="47"/>
      <c r="BL492" s="47"/>
      <c r="BM492" s="47"/>
      <c r="BN492" s="47"/>
      <c r="BO492" s="47"/>
      <c r="BP492" s="47"/>
      <c r="BQ492" s="47"/>
      <c r="BR492" s="47"/>
      <c r="BS492" s="47"/>
      <c r="BT492" s="47"/>
      <c r="BU492" s="47"/>
      <c r="BV492" s="47"/>
      <c r="BW492" s="47"/>
    </row>
    <row r="493" ht="21.0" customHeight="1">
      <c r="A493" s="43"/>
      <c r="B493" s="36" t="s">
        <v>450</v>
      </c>
      <c r="C493" s="26">
        <f>vlookup(B493,'재고 백업'!$A:$B,2,0)</f>
        <v>46</v>
      </c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  <c r="AG493" s="47"/>
      <c r="AH493" s="47"/>
      <c r="AI493" s="47"/>
      <c r="AJ493" s="47"/>
      <c r="AK493" s="47"/>
      <c r="AL493" s="47"/>
      <c r="AM493" s="47"/>
      <c r="AN493" s="47"/>
      <c r="AO493" s="47"/>
      <c r="AP493" s="47"/>
      <c r="AQ493" s="47"/>
      <c r="AR493" s="47"/>
      <c r="AS493" s="47"/>
      <c r="AT493" s="47"/>
      <c r="AU493" s="47"/>
      <c r="AV493" s="47"/>
      <c r="AW493" s="47"/>
      <c r="AX493" s="47"/>
      <c r="AY493" s="47"/>
      <c r="AZ493" s="47"/>
      <c r="BA493" s="47"/>
      <c r="BB493" s="47"/>
      <c r="BC493" s="47"/>
      <c r="BD493" s="47"/>
      <c r="BE493" s="47"/>
      <c r="BF493" s="47"/>
      <c r="BG493" s="47"/>
      <c r="BH493" s="47"/>
      <c r="BI493" s="47"/>
      <c r="BJ493" s="47"/>
      <c r="BK493" s="47"/>
      <c r="BL493" s="47"/>
      <c r="BM493" s="47"/>
      <c r="BN493" s="47"/>
      <c r="BO493" s="47"/>
      <c r="BP493" s="47"/>
      <c r="BQ493" s="47"/>
      <c r="BR493" s="47"/>
      <c r="BS493" s="47"/>
      <c r="BT493" s="47"/>
      <c r="BU493" s="47"/>
      <c r="BV493" s="47"/>
      <c r="BW493" s="47"/>
    </row>
    <row r="494" ht="21.0" customHeight="1">
      <c r="A494" s="43"/>
      <c r="B494" s="36" t="s">
        <v>451</v>
      </c>
      <c r="C494" s="26">
        <f>vlookup(B494,'재고 백업'!$A:$B,2,0)</f>
        <v>8</v>
      </c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  <c r="AG494" s="47"/>
      <c r="AH494" s="47"/>
      <c r="AI494" s="47"/>
      <c r="AJ494" s="47"/>
      <c r="AK494" s="47"/>
      <c r="AL494" s="47"/>
      <c r="AM494" s="47"/>
      <c r="AN494" s="47"/>
      <c r="AO494" s="47"/>
      <c r="AP494" s="47"/>
      <c r="AQ494" s="47"/>
      <c r="AR494" s="47"/>
      <c r="AS494" s="47"/>
      <c r="AT494" s="47"/>
      <c r="AU494" s="47"/>
      <c r="AV494" s="47"/>
      <c r="AW494" s="47"/>
      <c r="AX494" s="47"/>
      <c r="AY494" s="47"/>
      <c r="AZ494" s="47"/>
      <c r="BA494" s="47"/>
      <c r="BB494" s="47"/>
      <c r="BC494" s="47"/>
      <c r="BD494" s="47"/>
      <c r="BE494" s="47"/>
      <c r="BF494" s="47"/>
      <c r="BG494" s="47"/>
      <c r="BH494" s="47"/>
      <c r="BI494" s="47"/>
      <c r="BJ494" s="47"/>
      <c r="BK494" s="47"/>
      <c r="BL494" s="47"/>
      <c r="BM494" s="47"/>
      <c r="BN494" s="47"/>
      <c r="BO494" s="47"/>
      <c r="BP494" s="47"/>
      <c r="BQ494" s="47"/>
      <c r="BR494" s="47"/>
      <c r="BS494" s="47"/>
      <c r="BT494" s="47"/>
      <c r="BU494" s="47"/>
      <c r="BV494" s="47"/>
      <c r="BW494" s="47"/>
    </row>
    <row r="495" ht="21.0" customHeight="1">
      <c r="A495" s="43"/>
      <c r="B495" s="36" t="s">
        <v>452</v>
      </c>
      <c r="C495" s="26">
        <f>vlookup(B495,'재고 백업'!$A:$B,2,0)</f>
        <v>45</v>
      </c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  <c r="AG495" s="47"/>
      <c r="AH495" s="47"/>
      <c r="AI495" s="47"/>
      <c r="AJ495" s="47"/>
      <c r="AK495" s="47"/>
      <c r="AL495" s="47"/>
      <c r="AM495" s="47"/>
      <c r="AN495" s="47"/>
      <c r="AO495" s="47"/>
      <c r="AP495" s="47"/>
      <c r="AQ495" s="47"/>
      <c r="AR495" s="47"/>
      <c r="AS495" s="47"/>
      <c r="AT495" s="47"/>
      <c r="AU495" s="47"/>
      <c r="AV495" s="47"/>
      <c r="AW495" s="47"/>
      <c r="AX495" s="47"/>
      <c r="AY495" s="47"/>
      <c r="AZ495" s="47"/>
      <c r="BA495" s="47"/>
      <c r="BB495" s="47"/>
      <c r="BC495" s="47"/>
      <c r="BD495" s="47"/>
      <c r="BE495" s="47"/>
      <c r="BF495" s="47"/>
      <c r="BG495" s="47"/>
      <c r="BH495" s="47"/>
      <c r="BI495" s="47"/>
      <c r="BJ495" s="47"/>
      <c r="BK495" s="47"/>
      <c r="BL495" s="47"/>
      <c r="BM495" s="47"/>
      <c r="BN495" s="47"/>
      <c r="BO495" s="47"/>
      <c r="BP495" s="47"/>
      <c r="BQ495" s="47"/>
      <c r="BR495" s="47"/>
      <c r="BS495" s="47"/>
      <c r="BT495" s="47"/>
      <c r="BU495" s="47"/>
      <c r="BV495" s="47"/>
      <c r="BW495" s="47"/>
    </row>
    <row r="496" ht="21.0" customHeight="1">
      <c r="A496" s="43"/>
      <c r="B496" s="36" t="s">
        <v>453</v>
      </c>
      <c r="C496" s="26">
        <f>vlookup(B496,'재고 백업'!$A:$B,2,0)</f>
        <v>12</v>
      </c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  <c r="AG496" s="47"/>
      <c r="AH496" s="47"/>
      <c r="AI496" s="47"/>
      <c r="AJ496" s="47"/>
      <c r="AK496" s="47"/>
      <c r="AL496" s="47"/>
      <c r="AM496" s="47"/>
      <c r="AN496" s="47"/>
      <c r="AO496" s="47"/>
      <c r="AP496" s="47"/>
      <c r="AQ496" s="47"/>
      <c r="AR496" s="47"/>
      <c r="AS496" s="47"/>
      <c r="AT496" s="47"/>
      <c r="AU496" s="47"/>
      <c r="AV496" s="47"/>
      <c r="AW496" s="47"/>
      <c r="AX496" s="47"/>
      <c r="AY496" s="47"/>
      <c r="AZ496" s="47"/>
      <c r="BA496" s="47"/>
      <c r="BB496" s="47"/>
      <c r="BC496" s="47"/>
      <c r="BD496" s="47"/>
      <c r="BE496" s="47"/>
      <c r="BF496" s="47"/>
      <c r="BG496" s="47"/>
      <c r="BH496" s="47"/>
      <c r="BI496" s="47"/>
      <c r="BJ496" s="47"/>
      <c r="BK496" s="47"/>
      <c r="BL496" s="47"/>
      <c r="BM496" s="47"/>
      <c r="BN496" s="47"/>
      <c r="BO496" s="47"/>
      <c r="BP496" s="47"/>
      <c r="BQ496" s="47"/>
      <c r="BR496" s="47"/>
      <c r="BS496" s="47"/>
      <c r="BT496" s="47"/>
      <c r="BU496" s="47"/>
      <c r="BV496" s="47"/>
      <c r="BW496" s="47"/>
    </row>
    <row r="497" ht="21.0" customHeight="1">
      <c r="A497" s="43"/>
      <c r="B497" s="36" t="s">
        <v>454</v>
      </c>
      <c r="C497" s="26">
        <f>vlookup(B497,'재고 백업'!$A:$B,2,0)</f>
        <v>12</v>
      </c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  <c r="AG497" s="47"/>
      <c r="AH497" s="47"/>
      <c r="AI497" s="47"/>
      <c r="AJ497" s="47"/>
      <c r="AK497" s="47"/>
      <c r="AL497" s="47"/>
      <c r="AM497" s="47"/>
      <c r="AN497" s="47"/>
      <c r="AO497" s="47"/>
      <c r="AP497" s="47"/>
      <c r="AQ497" s="47"/>
      <c r="AR497" s="47"/>
      <c r="AS497" s="47"/>
      <c r="AT497" s="47"/>
      <c r="AU497" s="47"/>
      <c r="AV497" s="47"/>
      <c r="AW497" s="47"/>
      <c r="AX497" s="47"/>
      <c r="AY497" s="47"/>
      <c r="AZ497" s="47"/>
      <c r="BA497" s="47"/>
      <c r="BB497" s="47"/>
      <c r="BC497" s="47"/>
      <c r="BD497" s="47"/>
      <c r="BE497" s="47"/>
      <c r="BF497" s="47"/>
      <c r="BG497" s="47"/>
      <c r="BH497" s="47"/>
      <c r="BI497" s="47"/>
      <c r="BJ497" s="47"/>
      <c r="BK497" s="47"/>
      <c r="BL497" s="47"/>
      <c r="BM497" s="47"/>
      <c r="BN497" s="47"/>
      <c r="BO497" s="47"/>
      <c r="BP497" s="47"/>
      <c r="BQ497" s="47"/>
      <c r="BR497" s="47"/>
      <c r="BS497" s="47"/>
      <c r="BT497" s="47"/>
      <c r="BU497" s="47"/>
      <c r="BV497" s="47"/>
      <c r="BW497" s="47"/>
    </row>
    <row r="498" ht="21.0" customHeight="1">
      <c r="A498" s="43"/>
      <c r="B498" s="36" t="s">
        <v>455</v>
      </c>
      <c r="C498" s="26" t="str">
        <f>vlookup(B498,'재고 백업'!$A:$B,2,0)</f>
        <v>-</v>
      </c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  <c r="AG498" s="47"/>
      <c r="AH498" s="47"/>
      <c r="AI498" s="47"/>
      <c r="AJ498" s="47"/>
      <c r="AK498" s="47"/>
      <c r="AL498" s="47"/>
      <c r="AM498" s="47"/>
      <c r="AN498" s="47"/>
      <c r="AO498" s="47"/>
      <c r="AP498" s="47"/>
      <c r="AQ498" s="47"/>
      <c r="AR498" s="47"/>
      <c r="AS498" s="47"/>
      <c r="AT498" s="47"/>
      <c r="AU498" s="47"/>
      <c r="AV498" s="47"/>
      <c r="AW498" s="47"/>
      <c r="AX498" s="47"/>
      <c r="AY498" s="47"/>
      <c r="AZ498" s="47"/>
      <c r="BA498" s="47"/>
      <c r="BB498" s="47"/>
      <c r="BC498" s="47"/>
      <c r="BD498" s="47"/>
      <c r="BE498" s="47"/>
      <c r="BF498" s="47"/>
      <c r="BG498" s="47"/>
      <c r="BH498" s="47"/>
      <c r="BI498" s="47"/>
      <c r="BJ498" s="47"/>
      <c r="BK498" s="47"/>
      <c r="BL498" s="47"/>
      <c r="BM498" s="47"/>
      <c r="BN498" s="47"/>
      <c r="BO498" s="47"/>
      <c r="BP498" s="47"/>
      <c r="BQ498" s="47"/>
      <c r="BR498" s="47"/>
      <c r="BS498" s="47"/>
      <c r="BT498" s="47"/>
      <c r="BU498" s="47"/>
      <c r="BV498" s="47"/>
      <c r="BW498" s="47"/>
    </row>
    <row r="499" ht="21.0" customHeight="1">
      <c r="A499" s="43"/>
      <c r="B499" s="36" t="s">
        <v>456</v>
      </c>
      <c r="C499" s="26">
        <f>vlookup(B499,'재고 백업'!$A:$B,2,0)</f>
        <v>69</v>
      </c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  <c r="AG499" s="47"/>
      <c r="AH499" s="47"/>
      <c r="AI499" s="47"/>
      <c r="AJ499" s="47"/>
      <c r="AK499" s="47"/>
      <c r="AL499" s="47"/>
      <c r="AM499" s="47"/>
      <c r="AN499" s="47"/>
      <c r="AO499" s="47"/>
      <c r="AP499" s="47"/>
      <c r="AQ499" s="47"/>
      <c r="AR499" s="47"/>
      <c r="AS499" s="47"/>
      <c r="AT499" s="47"/>
      <c r="AU499" s="47"/>
      <c r="AV499" s="47"/>
      <c r="AW499" s="47"/>
      <c r="AX499" s="47"/>
      <c r="AY499" s="47"/>
      <c r="AZ499" s="47"/>
      <c r="BA499" s="47"/>
      <c r="BB499" s="47"/>
      <c r="BC499" s="47"/>
      <c r="BD499" s="47"/>
      <c r="BE499" s="47"/>
      <c r="BF499" s="47"/>
      <c r="BG499" s="47"/>
      <c r="BH499" s="47"/>
      <c r="BI499" s="47"/>
      <c r="BJ499" s="47"/>
      <c r="BK499" s="47"/>
      <c r="BL499" s="47"/>
      <c r="BM499" s="47"/>
      <c r="BN499" s="47"/>
      <c r="BO499" s="47"/>
      <c r="BP499" s="47"/>
      <c r="BQ499" s="47"/>
      <c r="BR499" s="47"/>
      <c r="BS499" s="47"/>
      <c r="BT499" s="47"/>
      <c r="BU499" s="47"/>
      <c r="BV499" s="47"/>
      <c r="BW499" s="47"/>
    </row>
    <row r="500" ht="21.0" customHeight="1">
      <c r="A500" s="43"/>
      <c r="B500" s="36" t="s">
        <v>457</v>
      </c>
      <c r="C500" s="26">
        <f>vlookup(B500,'재고 백업'!$A:$B,2,0)</f>
        <v>27</v>
      </c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  <c r="AG500" s="47"/>
      <c r="AH500" s="47"/>
      <c r="AI500" s="47"/>
      <c r="AJ500" s="47"/>
      <c r="AK500" s="47"/>
      <c r="AL500" s="47"/>
      <c r="AM500" s="47"/>
      <c r="AN500" s="47"/>
      <c r="AO500" s="47"/>
      <c r="AP500" s="47"/>
      <c r="AQ500" s="47"/>
      <c r="AR500" s="47"/>
      <c r="AS500" s="47"/>
      <c r="AT500" s="47"/>
      <c r="AU500" s="47"/>
      <c r="AV500" s="47"/>
      <c r="AW500" s="47"/>
      <c r="AX500" s="47"/>
      <c r="AY500" s="47"/>
      <c r="AZ500" s="47"/>
      <c r="BA500" s="47"/>
      <c r="BB500" s="47"/>
      <c r="BC500" s="47"/>
      <c r="BD500" s="47"/>
      <c r="BE500" s="47"/>
      <c r="BF500" s="47"/>
      <c r="BG500" s="47"/>
      <c r="BH500" s="47"/>
      <c r="BI500" s="47"/>
      <c r="BJ500" s="47"/>
      <c r="BK500" s="47"/>
      <c r="BL500" s="47"/>
      <c r="BM500" s="47"/>
      <c r="BN500" s="47"/>
      <c r="BO500" s="47"/>
      <c r="BP500" s="47"/>
      <c r="BQ500" s="47"/>
      <c r="BR500" s="47"/>
      <c r="BS500" s="47"/>
      <c r="BT500" s="47"/>
      <c r="BU500" s="47"/>
      <c r="BV500" s="47"/>
      <c r="BW500" s="47"/>
    </row>
    <row r="501" ht="21.0" customHeight="1">
      <c r="A501" s="43"/>
      <c r="B501" s="36" t="s">
        <v>458</v>
      </c>
      <c r="C501" s="26">
        <f>vlookup(B501,'재고 백업'!$A:$B,2,0)</f>
        <v>97</v>
      </c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  <c r="AG501" s="47"/>
      <c r="AH501" s="47"/>
      <c r="AI501" s="47"/>
      <c r="AJ501" s="47"/>
      <c r="AK501" s="47"/>
      <c r="AL501" s="47"/>
      <c r="AM501" s="47"/>
      <c r="AN501" s="47"/>
      <c r="AO501" s="47"/>
      <c r="AP501" s="47"/>
      <c r="AQ501" s="47"/>
      <c r="AR501" s="47"/>
      <c r="AS501" s="47"/>
      <c r="AT501" s="47"/>
      <c r="AU501" s="47"/>
      <c r="AV501" s="47"/>
      <c r="AW501" s="47"/>
      <c r="AX501" s="47"/>
      <c r="AY501" s="47"/>
      <c r="AZ501" s="47"/>
      <c r="BA501" s="47"/>
      <c r="BB501" s="47"/>
      <c r="BC501" s="47"/>
      <c r="BD501" s="47"/>
      <c r="BE501" s="47"/>
      <c r="BF501" s="47"/>
      <c r="BG501" s="47"/>
      <c r="BH501" s="47"/>
      <c r="BI501" s="47"/>
      <c r="BJ501" s="47"/>
      <c r="BK501" s="47"/>
      <c r="BL501" s="47"/>
      <c r="BM501" s="47"/>
      <c r="BN501" s="47"/>
      <c r="BO501" s="47"/>
      <c r="BP501" s="47"/>
      <c r="BQ501" s="47"/>
      <c r="BR501" s="47"/>
      <c r="BS501" s="47"/>
      <c r="BT501" s="47"/>
      <c r="BU501" s="47"/>
      <c r="BV501" s="47"/>
      <c r="BW501" s="47"/>
    </row>
    <row r="502" ht="21.0" customHeight="1">
      <c r="A502" s="43"/>
      <c r="B502" s="36" t="s">
        <v>459</v>
      </c>
      <c r="C502" s="26">
        <f>vlookup(B502,'재고 백업'!$A:$B,2,0)</f>
        <v>21</v>
      </c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  <c r="AG502" s="47"/>
      <c r="AH502" s="47"/>
      <c r="AI502" s="47"/>
      <c r="AJ502" s="47"/>
      <c r="AK502" s="47"/>
      <c r="AL502" s="47"/>
      <c r="AM502" s="47"/>
      <c r="AN502" s="47"/>
      <c r="AO502" s="47"/>
      <c r="AP502" s="47"/>
      <c r="AQ502" s="47"/>
      <c r="AR502" s="47"/>
      <c r="AS502" s="47"/>
      <c r="AT502" s="47"/>
      <c r="AU502" s="47"/>
      <c r="AV502" s="47"/>
      <c r="AW502" s="47"/>
      <c r="AX502" s="47"/>
      <c r="AY502" s="47"/>
      <c r="AZ502" s="47"/>
      <c r="BA502" s="47"/>
      <c r="BB502" s="47"/>
      <c r="BC502" s="47"/>
      <c r="BD502" s="47"/>
      <c r="BE502" s="47"/>
      <c r="BF502" s="47"/>
      <c r="BG502" s="47"/>
      <c r="BH502" s="47"/>
      <c r="BI502" s="47"/>
      <c r="BJ502" s="47"/>
      <c r="BK502" s="47"/>
      <c r="BL502" s="47"/>
      <c r="BM502" s="47"/>
      <c r="BN502" s="47"/>
      <c r="BO502" s="47"/>
      <c r="BP502" s="47"/>
      <c r="BQ502" s="47"/>
      <c r="BR502" s="47"/>
      <c r="BS502" s="47"/>
      <c r="BT502" s="47"/>
      <c r="BU502" s="47"/>
      <c r="BV502" s="47"/>
      <c r="BW502" s="47"/>
    </row>
    <row r="503" ht="21.0" customHeight="1">
      <c r="A503" s="43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  <c r="AG503" s="47"/>
      <c r="AH503" s="47"/>
      <c r="AI503" s="47"/>
      <c r="AJ503" s="47"/>
      <c r="AK503" s="47"/>
      <c r="AL503" s="47"/>
      <c r="AM503" s="47"/>
      <c r="AN503" s="47"/>
      <c r="AO503" s="47"/>
      <c r="AP503" s="47"/>
      <c r="AQ503" s="47"/>
      <c r="AR503" s="47"/>
      <c r="AS503" s="47"/>
      <c r="AT503" s="47"/>
      <c r="AU503" s="47"/>
      <c r="AV503" s="47"/>
      <c r="AW503" s="47"/>
      <c r="AX503" s="47"/>
      <c r="AY503" s="47"/>
      <c r="AZ503" s="47"/>
      <c r="BA503" s="47"/>
      <c r="BB503" s="47"/>
      <c r="BC503" s="47"/>
      <c r="BD503" s="47"/>
      <c r="BE503" s="47"/>
      <c r="BF503" s="47"/>
      <c r="BG503" s="47"/>
      <c r="BH503" s="47"/>
      <c r="BI503" s="47"/>
      <c r="BJ503" s="47"/>
      <c r="BK503" s="47"/>
      <c r="BL503" s="47"/>
      <c r="BM503" s="47"/>
      <c r="BN503" s="47"/>
      <c r="BO503" s="47"/>
      <c r="BP503" s="47"/>
      <c r="BQ503" s="47"/>
      <c r="BR503" s="47"/>
      <c r="BS503" s="47"/>
      <c r="BT503" s="47"/>
      <c r="BU503" s="47"/>
      <c r="BV503" s="47"/>
      <c r="BW503" s="47"/>
    </row>
    <row r="504" ht="21.0" customHeight="1">
      <c r="A504" s="43"/>
      <c r="B504" s="48" t="s">
        <v>460</v>
      </c>
      <c r="C504" s="63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  <c r="AG504" s="47"/>
      <c r="AH504" s="47"/>
      <c r="AI504" s="47"/>
      <c r="AJ504" s="47"/>
      <c r="AK504" s="47"/>
      <c r="AL504" s="47"/>
      <c r="AM504" s="47"/>
      <c r="AN504" s="47"/>
      <c r="AO504" s="47"/>
      <c r="AP504" s="47"/>
      <c r="AQ504" s="47"/>
      <c r="AR504" s="47"/>
      <c r="AS504" s="47"/>
      <c r="AT504" s="47"/>
      <c r="AU504" s="47"/>
      <c r="AV504" s="47"/>
      <c r="AW504" s="47"/>
      <c r="AX504" s="47"/>
      <c r="AY504" s="47"/>
      <c r="AZ504" s="47"/>
      <c r="BA504" s="47"/>
      <c r="BB504" s="47"/>
      <c r="BC504" s="47"/>
      <c r="BD504" s="47"/>
      <c r="BE504" s="47"/>
      <c r="BF504" s="47"/>
      <c r="BG504" s="47"/>
      <c r="BH504" s="47"/>
      <c r="BI504" s="47"/>
      <c r="BJ504" s="47"/>
      <c r="BK504" s="47"/>
      <c r="BL504" s="47"/>
      <c r="BM504" s="47"/>
      <c r="BN504" s="47"/>
      <c r="BO504" s="47"/>
      <c r="BP504" s="47"/>
      <c r="BQ504" s="47"/>
      <c r="BR504" s="47"/>
      <c r="BS504" s="47"/>
      <c r="BT504" s="47"/>
      <c r="BU504" s="47"/>
      <c r="BV504" s="47"/>
      <c r="BW504" s="47"/>
    </row>
    <row r="505" ht="21.0" customHeight="1">
      <c r="A505" s="43"/>
      <c r="B505" s="36" t="s">
        <v>461</v>
      </c>
      <c r="C505" s="26" t="str">
        <f>vlookup(B505,'재고 백업'!$A:$B,2,0)</f>
        <v>-</v>
      </c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  <c r="AG505" s="47"/>
      <c r="AH505" s="47"/>
      <c r="AI505" s="47"/>
      <c r="AJ505" s="47"/>
      <c r="AK505" s="47"/>
      <c r="AL505" s="47"/>
      <c r="AM505" s="47"/>
      <c r="AN505" s="47"/>
      <c r="AO505" s="47"/>
      <c r="AP505" s="47"/>
      <c r="AQ505" s="47"/>
      <c r="AR505" s="47"/>
      <c r="AS505" s="47"/>
      <c r="AT505" s="47"/>
      <c r="AU505" s="47"/>
      <c r="AV505" s="47"/>
      <c r="AW505" s="47"/>
      <c r="AX505" s="47"/>
      <c r="AY505" s="47"/>
      <c r="AZ505" s="47"/>
      <c r="BA505" s="47"/>
      <c r="BB505" s="47"/>
      <c r="BC505" s="47"/>
      <c r="BD505" s="47"/>
      <c r="BE505" s="47"/>
      <c r="BF505" s="47"/>
      <c r="BG505" s="47"/>
      <c r="BH505" s="47"/>
      <c r="BI505" s="47"/>
      <c r="BJ505" s="47"/>
      <c r="BK505" s="47"/>
      <c r="BL505" s="47"/>
      <c r="BM505" s="47"/>
      <c r="BN505" s="47"/>
      <c r="BO505" s="47"/>
      <c r="BP505" s="47"/>
      <c r="BQ505" s="47"/>
      <c r="BR505" s="47"/>
      <c r="BS505" s="47"/>
      <c r="BT505" s="47"/>
      <c r="BU505" s="47"/>
      <c r="BV505" s="47"/>
      <c r="BW505" s="47"/>
    </row>
    <row r="506" ht="21.0" customHeight="1">
      <c r="A506" s="43"/>
      <c r="B506" s="36" t="s">
        <v>462</v>
      </c>
      <c r="C506" s="26" t="str">
        <f>vlookup(B506,'재고 백업'!$A:$B,2,0)</f>
        <v>-</v>
      </c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  <c r="AG506" s="47"/>
      <c r="AH506" s="47"/>
      <c r="AI506" s="47"/>
      <c r="AJ506" s="47"/>
      <c r="AK506" s="47"/>
      <c r="AL506" s="47"/>
      <c r="AM506" s="47"/>
      <c r="AN506" s="47"/>
      <c r="AO506" s="47"/>
      <c r="AP506" s="47"/>
      <c r="AQ506" s="47"/>
      <c r="AR506" s="47"/>
      <c r="AS506" s="47"/>
      <c r="AT506" s="47"/>
      <c r="AU506" s="47"/>
      <c r="AV506" s="47"/>
      <c r="AW506" s="47"/>
      <c r="AX506" s="47"/>
      <c r="AY506" s="47"/>
      <c r="AZ506" s="47"/>
      <c r="BA506" s="47"/>
      <c r="BB506" s="47"/>
      <c r="BC506" s="47"/>
      <c r="BD506" s="47"/>
      <c r="BE506" s="47"/>
      <c r="BF506" s="47"/>
      <c r="BG506" s="47"/>
      <c r="BH506" s="47"/>
      <c r="BI506" s="47"/>
      <c r="BJ506" s="47"/>
      <c r="BK506" s="47"/>
      <c r="BL506" s="47"/>
      <c r="BM506" s="47"/>
      <c r="BN506" s="47"/>
      <c r="BO506" s="47"/>
      <c r="BP506" s="47"/>
      <c r="BQ506" s="47"/>
      <c r="BR506" s="47"/>
      <c r="BS506" s="47"/>
      <c r="BT506" s="47"/>
      <c r="BU506" s="47"/>
      <c r="BV506" s="47"/>
      <c r="BW506" s="47"/>
    </row>
    <row r="507" ht="21.0" customHeight="1">
      <c r="A507" s="43"/>
      <c r="B507" s="50"/>
      <c r="C507" s="50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  <c r="AG507" s="47"/>
      <c r="AH507" s="47"/>
      <c r="AI507" s="47"/>
      <c r="AJ507" s="47"/>
      <c r="AK507" s="47"/>
      <c r="AL507" s="47"/>
      <c r="AM507" s="47"/>
      <c r="AN507" s="47"/>
      <c r="AO507" s="47"/>
      <c r="AP507" s="47"/>
      <c r="AQ507" s="47"/>
      <c r="AR507" s="47"/>
      <c r="AS507" s="47"/>
      <c r="AT507" s="47"/>
      <c r="AU507" s="47"/>
      <c r="AV507" s="47"/>
      <c r="AW507" s="47"/>
      <c r="AX507" s="47"/>
      <c r="AY507" s="47"/>
      <c r="AZ507" s="47"/>
      <c r="BA507" s="47"/>
      <c r="BB507" s="47"/>
      <c r="BC507" s="47"/>
      <c r="BD507" s="47"/>
      <c r="BE507" s="47"/>
      <c r="BF507" s="47"/>
      <c r="BG507" s="47"/>
      <c r="BH507" s="47"/>
      <c r="BI507" s="47"/>
      <c r="BJ507" s="47"/>
      <c r="BK507" s="47"/>
      <c r="BL507" s="47"/>
      <c r="BM507" s="47"/>
      <c r="BN507" s="47"/>
      <c r="BO507" s="47"/>
      <c r="BP507" s="47"/>
      <c r="BQ507" s="47"/>
      <c r="BR507" s="47"/>
      <c r="BS507" s="47"/>
      <c r="BT507" s="47"/>
      <c r="BU507" s="47"/>
      <c r="BV507" s="47"/>
      <c r="BW507" s="47"/>
    </row>
    <row r="508" ht="21.0" customHeight="1">
      <c r="A508" s="43"/>
      <c r="B508" s="48" t="s">
        <v>463</v>
      </c>
      <c r="C508" s="63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  <c r="AG508" s="47"/>
      <c r="AH508" s="47"/>
      <c r="AI508" s="47"/>
      <c r="AJ508" s="47"/>
      <c r="AK508" s="47"/>
      <c r="AL508" s="47"/>
      <c r="AM508" s="47"/>
      <c r="AN508" s="47"/>
      <c r="AO508" s="47"/>
      <c r="AP508" s="47"/>
      <c r="AQ508" s="47"/>
      <c r="AR508" s="47"/>
      <c r="AS508" s="47"/>
      <c r="AT508" s="47"/>
      <c r="AU508" s="47"/>
      <c r="AV508" s="47"/>
      <c r="AW508" s="47"/>
      <c r="AX508" s="47"/>
      <c r="AY508" s="47"/>
      <c r="AZ508" s="47"/>
      <c r="BA508" s="47"/>
      <c r="BB508" s="47"/>
      <c r="BC508" s="47"/>
      <c r="BD508" s="47"/>
      <c r="BE508" s="47"/>
      <c r="BF508" s="47"/>
      <c r="BG508" s="47"/>
      <c r="BH508" s="47"/>
      <c r="BI508" s="47"/>
      <c r="BJ508" s="47"/>
      <c r="BK508" s="47"/>
      <c r="BL508" s="47"/>
      <c r="BM508" s="47"/>
      <c r="BN508" s="47"/>
      <c r="BO508" s="47"/>
      <c r="BP508" s="47"/>
      <c r="BQ508" s="47"/>
      <c r="BR508" s="47"/>
      <c r="BS508" s="47"/>
      <c r="BT508" s="47"/>
      <c r="BU508" s="47"/>
      <c r="BV508" s="47"/>
      <c r="BW508" s="47"/>
    </row>
    <row r="509" ht="21.0" customHeight="1">
      <c r="A509" s="43"/>
      <c r="B509" s="36" t="s">
        <v>464</v>
      </c>
      <c r="C509" s="26" t="str">
        <f>vlookup(B509,'재고 백업'!$A:$B,2,0)</f>
        <v>-</v>
      </c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  <c r="AG509" s="47"/>
      <c r="AH509" s="47"/>
      <c r="AI509" s="47"/>
      <c r="AJ509" s="47"/>
      <c r="AK509" s="47"/>
      <c r="AL509" s="47"/>
      <c r="AM509" s="47"/>
      <c r="AN509" s="47"/>
      <c r="AO509" s="47"/>
      <c r="AP509" s="47"/>
      <c r="AQ509" s="47"/>
      <c r="AR509" s="47"/>
      <c r="AS509" s="47"/>
      <c r="AT509" s="47"/>
      <c r="AU509" s="47"/>
      <c r="AV509" s="47"/>
      <c r="AW509" s="47"/>
      <c r="AX509" s="47"/>
      <c r="AY509" s="47"/>
      <c r="AZ509" s="47"/>
      <c r="BA509" s="47"/>
      <c r="BB509" s="47"/>
      <c r="BC509" s="47"/>
      <c r="BD509" s="47"/>
      <c r="BE509" s="47"/>
      <c r="BF509" s="47"/>
      <c r="BG509" s="47"/>
      <c r="BH509" s="47"/>
      <c r="BI509" s="47"/>
      <c r="BJ509" s="47"/>
      <c r="BK509" s="47"/>
      <c r="BL509" s="47"/>
      <c r="BM509" s="47"/>
      <c r="BN509" s="47"/>
      <c r="BO509" s="47"/>
      <c r="BP509" s="47"/>
      <c r="BQ509" s="47"/>
      <c r="BR509" s="47"/>
      <c r="BS509" s="47"/>
      <c r="BT509" s="47"/>
      <c r="BU509" s="47"/>
      <c r="BV509" s="47"/>
      <c r="BW509" s="47"/>
    </row>
    <row r="510" ht="21.0" customHeight="1">
      <c r="A510" s="43"/>
      <c r="B510" s="33"/>
      <c r="C510" s="34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  <c r="AG510" s="47"/>
      <c r="AH510" s="47"/>
      <c r="AI510" s="47"/>
      <c r="AJ510" s="47"/>
      <c r="AK510" s="47"/>
      <c r="AL510" s="47"/>
      <c r="AM510" s="47"/>
      <c r="AN510" s="47"/>
      <c r="AO510" s="47"/>
      <c r="AP510" s="47"/>
      <c r="AQ510" s="47"/>
      <c r="AR510" s="47"/>
      <c r="AS510" s="47"/>
      <c r="AT510" s="47"/>
      <c r="AU510" s="47"/>
      <c r="AV510" s="47"/>
      <c r="AW510" s="47"/>
      <c r="AX510" s="47"/>
      <c r="AY510" s="47"/>
      <c r="AZ510" s="47"/>
      <c r="BA510" s="47"/>
      <c r="BB510" s="47"/>
      <c r="BC510" s="47"/>
      <c r="BD510" s="47"/>
      <c r="BE510" s="47"/>
      <c r="BF510" s="47"/>
      <c r="BG510" s="47"/>
      <c r="BH510" s="47"/>
      <c r="BI510" s="47"/>
      <c r="BJ510" s="47"/>
      <c r="BK510" s="47"/>
      <c r="BL510" s="47"/>
      <c r="BM510" s="47"/>
      <c r="BN510" s="47"/>
      <c r="BO510" s="47"/>
      <c r="BP510" s="47"/>
      <c r="BQ510" s="47"/>
      <c r="BR510" s="47"/>
      <c r="BS510" s="47"/>
      <c r="BT510" s="47"/>
      <c r="BU510" s="47"/>
      <c r="BV510" s="47"/>
      <c r="BW510" s="47"/>
    </row>
    <row r="511" ht="21.0" customHeight="1">
      <c r="A511" s="43"/>
      <c r="B511" s="64" t="s">
        <v>465</v>
      </c>
      <c r="C511" s="64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  <c r="AG511" s="47"/>
      <c r="AH511" s="47"/>
      <c r="AI511" s="47"/>
      <c r="AJ511" s="47"/>
      <c r="AK511" s="47"/>
      <c r="AL511" s="47"/>
      <c r="AM511" s="47"/>
      <c r="AN511" s="47"/>
      <c r="AO511" s="47"/>
      <c r="AP511" s="47"/>
      <c r="AQ511" s="47"/>
      <c r="AR511" s="47"/>
      <c r="AS511" s="47"/>
      <c r="AT511" s="47"/>
      <c r="AU511" s="47"/>
      <c r="AV511" s="47"/>
      <c r="AW511" s="47"/>
      <c r="AX511" s="47"/>
      <c r="AY511" s="47"/>
      <c r="AZ511" s="47"/>
      <c r="BA511" s="47"/>
      <c r="BB511" s="47"/>
      <c r="BC511" s="47"/>
      <c r="BD511" s="47"/>
      <c r="BE511" s="47"/>
      <c r="BF511" s="47"/>
      <c r="BG511" s="47"/>
      <c r="BH511" s="47"/>
      <c r="BI511" s="47"/>
      <c r="BJ511" s="47"/>
      <c r="BK511" s="47"/>
      <c r="BL511" s="47"/>
      <c r="BM511" s="47"/>
      <c r="BN511" s="47"/>
      <c r="BO511" s="47"/>
      <c r="BP511" s="47"/>
      <c r="BQ511" s="47"/>
      <c r="BR511" s="47"/>
      <c r="BS511" s="47"/>
      <c r="BT511" s="47"/>
      <c r="BU511" s="47"/>
      <c r="BV511" s="47"/>
      <c r="BW511" s="47"/>
    </row>
    <row r="512" ht="21.0" customHeight="1">
      <c r="A512" s="43"/>
      <c r="B512" s="65" t="s">
        <v>466</v>
      </c>
      <c r="C512" s="26" t="str">
        <f>vlookup(B512,'재고 백업'!$A:$B,2,0)</f>
        <v>-</v>
      </c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  <c r="AG512" s="47"/>
      <c r="AH512" s="47"/>
      <c r="AI512" s="47"/>
      <c r="AJ512" s="47"/>
      <c r="AK512" s="47"/>
      <c r="AL512" s="47"/>
      <c r="AM512" s="47"/>
      <c r="AN512" s="47"/>
      <c r="AO512" s="47"/>
      <c r="AP512" s="47"/>
      <c r="AQ512" s="47"/>
      <c r="AR512" s="47"/>
      <c r="AS512" s="47"/>
      <c r="AT512" s="47"/>
      <c r="AU512" s="47"/>
      <c r="AV512" s="47"/>
      <c r="AW512" s="47"/>
      <c r="AX512" s="47"/>
      <c r="AY512" s="47"/>
      <c r="AZ512" s="47"/>
      <c r="BA512" s="47"/>
      <c r="BB512" s="47"/>
      <c r="BC512" s="47"/>
      <c r="BD512" s="47"/>
      <c r="BE512" s="47"/>
      <c r="BF512" s="47"/>
      <c r="BG512" s="47"/>
      <c r="BH512" s="47"/>
      <c r="BI512" s="47"/>
      <c r="BJ512" s="47"/>
      <c r="BK512" s="47"/>
      <c r="BL512" s="47"/>
      <c r="BM512" s="47"/>
      <c r="BN512" s="47"/>
      <c r="BO512" s="47"/>
      <c r="BP512" s="47"/>
      <c r="BQ512" s="47"/>
      <c r="BR512" s="47"/>
      <c r="BS512" s="47"/>
      <c r="BT512" s="47"/>
      <c r="BU512" s="47"/>
      <c r="BV512" s="47"/>
      <c r="BW512" s="47"/>
    </row>
    <row r="513" ht="21.0" customHeight="1">
      <c r="A513" s="43"/>
      <c r="B513" s="65" t="s">
        <v>467</v>
      </c>
      <c r="C513" s="26">
        <f>vlookup(B513,'재고 백업'!$A:$B,2,0)</f>
        <v>13</v>
      </c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  <c r="AG513" s="47"/>
      <c r="AH513" s="47"/>
      <c r="AI513" s="47"/>
      <c r="AJ513" s="47"/>
      <c r="AK513" s="47"/>
      <c r="AL513" s="47"/>
      <c r="AM513" s="47"/>
      <c r="AN513" s="47"/>
      <c r="AO513" s="47"/>
      <c r="AP513" s="47"/>
      <c r="AQ513" s="47"/>
      <c r="AR513" s="47"/>
      <c r="AS513" s="47"/>
      <c r="AT513" s="47"/>
      <c r="AU513" s="47"/>
      <c r="AV513" s="47"/>
      <c r="AW513" s="47"/>
      <c r="AX513" s="47"/>
      <c r="AY513" s="47"/>
      <c r="AZ513" s="47"/>
      <c r="BA513" s="47"/>
      <c r="BB513" s="47"/>
      <c r="BC513" s="47"/>
      <c r="BD513" s="47"/>
      <c r="BE513" s="47"/>
      <c r="BF513" s="47"/>
      <c r="BG513" s="47"/>
      <c r="BH513" s="47"/>
      <c r="BI513" s="47"/>
      <c r="BJ513" s="47"/>
      <c r="BK513" s="47"/>
      <c r="BL513" s="47"/>
      <c r="BM513" s="47"/>
      <c r="BN513" s="47"/>
      <c r="BO513" s="47"/>
      <c r="BP513" s="47"/>
      <c r="BQ513" s="47"/>
      <c r="BR513" s="47"/>
      <c r="BS513" s="47"/>
      <c r="BT513" s="47"/>
      <c r="BU513" s="47"/>
      <c r="BV513" s="47"/>
      <c r="BW513" s="47"/>
    </row>
    <row r="514" ht="21.0" customHeight="1">
      <c r="A514" s="43"/>
      <c r="B514" s="33"/>
      <c r="C514" s="34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  <c r="AG514" s="47"/>
      <c r="AH514" s="47"/>
      <c r="AI514" s="47"/>
      <c r="AJ514" s="47"/>
      <c r="AK514" s="47"/>
      <c r="AL514" s="47"/>
      <c r="AM514" s="47"/>
      <c r="AN514" s="47"/>
      <c r="AO514" s="47"/>
      <c r="AP514" s="47"/>
      <c r="AQ514" s="47"/>
      <c r="AR514" s="47"/>
      <c r="AS514" s="47"/>
      <c r="AT514" s="47"/>
      <c r="AU514" s="47"/>
      <c r="AV514" s="47"/>
      <c r="AW514" s="47"/>
      <c r="AX514" s="47"/>
      <c r="AY514" s="47"/>
      <c r="AZ514" s="47"/>
      <c r="BA514" s="47"/>
      <c r="BB514" s="47"/>
      <c r="BC514" s="47"/>
      <c r="BD514" s="47"/>
      <c r="BE514" s="47"/>
      <c r="BF514" s="47"/>
      <c r="BG514" s="47"/>
      <c r="BH514" s="47"/>
      <c r="BI514" s="47"/>
      <c r="BJ514" s="47"/>
      <c r="BK514" s="47"/>
      <c r="BL514" s="47"/>
      <c r="BM514" s="47"/>
      <c r="BN514" s="47"/>
      <c r="BO514" s="47"/>
      <c r="BP514" s="47"/>
      <c r="BQ514" s="47"/>
      <c r="BR514" s="47"/>
      <c r="BS514" s="47"/>
      <c r="BT514" s="47"/>
      <c r="BU514" s="47"/>
      <c r="BV514" s="47"/>
      <c r="BW514" s="47"/>
    </row>
    <row r="515" ht="21.0" customHeight="1">
      <c r="A515" s="43"/>
      <c r="B515" s="64" t="s">
        <v>468</v>
      </c>
      <c r="C515" s="64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  <c r="AG515" s="47"/>
      <c r="AH515" s="47"/>
      <c r="AI515" s="47"/>
      <c r="AJ515" s="47"/>
      <c r="AK515" s="47"/>
      <c r="AL515" s="47"/>
      <c r="AM515" s="47"/>
      <c r="AN515" s="47"/>
      <c r="AO515" s="47"/>
      <c r="AP515" s="47"/>
      <c r="AQ515" s="47"/>
      <c r="AR515" s="47"/>
      <c r="AS515" s="47"/>
      <c r="AT515" s="47"/>
      <c r="AU515" s="47"/>
      <c r="AV515" s="47"/>
      <c r="AW515" s="47"/>
      <c r="AX515" s="47"/>
      <c r="AY515" s="47"/>
      <c r="AZ515" s="47"/>
      <c r="BA515" s="47"/>
      <c r="BB515" s="47"/>
      <c r="BC515" s="47"/>
      <c r="BD515" s="47"/>
      <c r="BE515" s="47"/>
      <c r="BF515" s="47"/>
      <c r="BG515" s="47"/>
      <c r="BH515" s="47"/>
      <c r="BI515" s="47"/>
      <c r="BJ515" s="47"/>
      <c r="BK515" s="47"/>
      <c r="BL515" s="47"/>
      <c r="BM515" s="47"/>
      <c r="BN515" s="47"/>
      <c r="BO515" s="47"/>
      <c r="BP515" s="47"/>
      <c r="BQ515" s="47"/>
      <c r="BR515" s="47"/>
      <c r="BS515" s="47"/>
      <c r="BT515" s="47"/>
      <c r="BU515" s="47"/>
      <c r="BV515" s="47"/>
      <c r="BW515" s="47"/>
    </row>
    <row r="516" ht="21.0" customHeight="1">
      <c r="A516" s="43"/>
      <c r="B516" s="66" t="s">
        <v>469</v>
      </c>
      <c r="C516" s="21" t="str">
        <f>vlookup(B516,'재고 백업'!$A:$B,2,0)</f>
        <v>#N/A</v>
      </c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  <c r="AG516" s="47"/>
      <c r="AH516" s="47"/>
      <c r="AI516" s="47"/>
      <c r="AJ516" s="47"/>
      <c r="AK516" s="47"/>
      <c r="AL516" s="47"/>
      <c r="AM516" s="47"/>
      <c r="AN516" s="47"/>
      <c r="AO516" s="47"/>
      <c r="AP516" s="47"/>
      <c r="AQ516" s="47"/>
      <c r="AR516" s="47"/>
      <c r="AS516" s="47"/>
      <c r="AT516" s="47"/>
      <c r="AU516" s="47"/>
      <c r="AV516" s="47"/>
      <c r="AW516" s="47"/>
      <c r="AX516" s="47"/>
      <c r="AY516" s="47"/>
      <c r="AZ516" s="47"/>
      <c r="BA516" s="47"/>
      <c r="BB516" s="47"/>
      <c r="BC516" s="47"/>
      <c r="BD516" s="47"/>
      <c r="BE516" s="47"/>
      <c r="BF516" s="47"/>
      <c r="BG516" s="47"/>
      <c r="BH516" s="47"/>
      <c r="BI516" s="47"/>
      <c r="BJ516" s="47"/>
      <c r="BK516" s="47"/>
      <c r="BL516" s="47"/>
      <c r="BM516" s="47"/>
      <c r="BN516" s="47"/>
      <c r="BO516" s="47"/>
      <c r="BP516" s="47"/>
      <c r="BQ516" s="47"/>
      <c r="BR516" s="47"/>
      <c r="BS516" s="47"/>
      <c r="BT516" s="47"/>
      <c r="BU516" s="47"/>
      <c r="BV516" s="47"/>
      <c r="BW516" s="47"/>
    </row>
    <row r="517" ht="21.0" customHeight="1">
      <c r="A517" s="43"/>
      <c r="B517" s="66" t="s">
        <v>470</v>
      </c>
      <c r="C517" s="26" t="str">
        <f>vlookup(B517,'재고 백업'!$A:$B,2,0)</f>
        <v>-</v>
      </c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  <c r="AG517" s="47"/>
      <c r="AH517" s="47"/>
      <c r="AI517" s="47"/>
      <c r="AJ517" s="47"/>
      <c r="AK517" s="47"/>
      <c r="AL517" s="47"/>
      <c r="AM517" s="47"/>
      <c r="AN517" s="47"/>
      <c r="AO517" s="47"/>
      <c r="AP517" s="47"/>
      <c r="AQ517" s="47"/>
      <c r="AR517" s="47"/>
      <c r="AS517" s="47"/>
      <c r="AT517" s="47"/>
      <c r="AU517" s="47"/>
      <c r="AV517" s="47"/>
      <c r="AW517" s="47"/>
      <c r="AX517" s="47"/>
      <c r="AY517" s="47"/>
      <c r="AZ517" s="47"/>
      <c r="BA517" s="47"/>
      <c r="BB517" s="47"/>
      <c r="BC517" s="47"/>
      <c r="BD517" s="47"/>
      <c r="BE517" s="47"/>
      <c r="BF517" s="47"/>
      <c r="BG517" s="47"/>
      <c r="BH517" s="47"/>
      <c r="BI517" s="47"/>
      <c r="BJ517" s="47"/>
      <c r="BK517" s="47"/>
      <c r="BL517" s="47"/>
      <c r="BM517" s="47"/>
      <c r="BN517" s="47"/>
      <c r="BO517" s="47"/>
      <c r="BP517" s="47"/>
      <c r="BQ517" s="47"/>
      <c r="BR517" s="47"/>
      <c r="BS517" s="47"/>
      <c r="BT517" s="47"/>
      <c r="BU517" s="47"/>
      <c r="BV517" s="47"/>
      <c r="BW517" s="47"/>
    </row>
    <row r="518" ht="21.0" customHeight="1">
      <c r="A518" s="43"/>
      <c r="B518" s="66" t="s">
        <v>471</v>
      </c>
      <c r="C518" s="26">
        <f>vlookup(B518,'재고 백업'!$A:$B,2,0)</f>
        <v>125</v>
      </c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  <c r="AG518" s="47"/>
      <c r="AH518" s="47"/>
      <c r="AI518" s="47"/>
      <c r="AJ518" s="47"/>
      <c r="AK518" s="47"/>
      <c r="AL518" s="47"/>
      <c r="AM518" s="47"/>
      <c r="AN518" s="47"/>
      <c r="AO518" s="47"/>
      <c r="AP518" s="47"/>
      <c r="AQ518" s="47"/>
      <c r="AR518" s="47"/>
      <c r="AS518" s="47"/>
      <c r="AT518" s="47"/>
      <c r="AU518" s="47"/>
      <c r="AV518" s="47"/>
      <c r="AW518" s="47"/>
      <c r="AX518" s="47"/>
      <c r="AY518" s="47"/>
      <c r="AZ518" s="47"/>
      <c r="BA518" s="47"/>
      <c r="BB518" s="47"/>
      <c r="BC518" s="47"/>
      <c r="BD518" s="47"/>
      <c r="BE518" s="47"/>
      <c r="BF518" s="47"/>
      <c r="BG518" s="47"/>
      <c r="BH518" s="47"/>
      <c r="BI518" s="47"/>
      <c r="BJ518" s="47"/>
      <c r="BK518" s="47"/>
      <c r="BL518" s="47"/>
      <c r="BM518" s="47"/>
      <c r="BN518" s="47"/>
      <c r="BO518" s="47"/>
      <c r="BP518" s="47"/>
      <c r="BQ518" s="47"/>
      <c r="BR518" s="47"/>
      <c r="BS518" s="47"/>
      <c r="BT518" s="47"/>
      <c r="BU518" s="47"/>
      <c r="BV518" s="47"/>
      <c r="BW518" s="47"/>
    </row>
    <row r="519" ht="21.0" customHeight="1">
      <c r="A519" s="43"/>
      <c r="B519" s="66" t="s">
        <v>472</v>
      </c>
      <c r="C519" s="26">
        <f>vlookup(B519,'재고 백업'!$A:$B,2,0)</f>
        <v>232</v>
      </c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  <c r="AG519" s="47"/>
      <c r="AH519" s="47"/>
      <c r="AI519" s="47"/>
      <c r="AJ519" s="47"/>
      <c r="AK519" s="47"/>
      <c r="AL519" s="47"/>
      <c r="AM519" s="47"/>
      <c r="AN519" s="47"/>
      <c r="AO519" s="47"/>
      <c r="AP519" s="47"/>
      <c r="AQ519" s="47"/>
      <c r="AR519" s="47"/>
      <c r="AS519" s="47"/>
      <c r="AT519" s="47"/>
      <c r="AU519" s="47"/>
      <c r="AV519" s="47"/>
      <c r="AW519" s="47"/>
      <c r="AX519" s="47"/>
      <c r="AY519" s="47"/>
      <c r="AZ519" s="47"/>
      <c r="BA519" s="47"/>
      <c r="BB519" s="47"/>
      <c r="BC519" s="47"/>
      <c r="BD519" s="47"/>
      <c r="BE519" s="47"/>
      <c r="BF519" s="47"/>
      <c r="BG519" s="47"/>
      <c r="BH519" s="47"/>
      <c r="BI519" s="47"/>
      <c r="BJ519" s="47"/>
      <c r="BK519" s="47"/>
      <c r="BL519" s="47"/>
      <c r="BM519" s="47"/>
      <c r="BN519" s="47"/>
      <c r="BO519" s="47"/>
      <c r="BP519" s="47"/>
      <c r="BQ519" s="47"/>
      <c r="BR519" s="47"/>
      <c r="BS519" s="47"/>
      <c r="BT519" s="47"/>
      <c r="BU519" s="47"/>
      <c r="BV519" s="47"/>
      <c r="BW519" s="47"/>
    </row>
    <row r="520" ht="21.0" customHeight="1">
      <c r="A520" s="43"/>
      <c r="B520" s="66" t="s">
        <v>473</v>
      </c>
      <c r="C520" s="26">
        <f>vlookup(B520,'재고 백업'!$A:$B,2,0)</f>
        <v>171</v>
      </c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  <c r="AG520" s="47"/>
      <c r="AH520" s="47"/>
      <c r="AI520" s="47"/>
      <c r="AJ520" s="47"/>
      <c r="AK520" s="47"/>
      <c r="AL520" s="47"/>
      <c r="AM520" s="47"/>
      <c r="AN520" s="47"/>
      <c r="AO520" s="47"/>
      <c r="AP520" s="47"/>
      <c r="AQ520" s="47"/>
      <c r="AR520" s="47"/>
      <c r="AS520" s="47"/>
      <c r="AT520" s="47"/>
      <c r="AU520" s="47"/>
      <c r="AV520" s="47"/>
      <c r="AW520" s="47"/>
      <c r="AX520" s="47"/>
      <c r="AY520" s="47"/>
      <c r="AZ520" s="47"/>
      <c r="BA520" s="47"/>
      <c r="BB520" s="47"/>
      <c r="BC520" s="47"/>
      <c r="BD520" s="47"/>
      <c r="BE520" s="47"/>
      <c r="BF520" s="47"/>
      <c r="BG520" s="47"/>
      <c r="BH520" s="47"/>
      <c r="BI520" s="47"/>
      <c r="BJ520" s="47"/>
      <c r="BK520" s="47"/>
      <c r="BL520" s="47"/>
      <c r="BM520" s="47"/>
      <c r="BN520" s="47"/>
      <c r="BO520" s="47"/>
      <c r="BP520" s="47"/>
      <c r="BQ520" s="47"/>
      <c r="BR520" s="47"/>
      <c r="BS520" s="47"/>
      <c r="BT520" s="47"/>
      <c r="BU520" s="47"/>
      <c r="BV520" s="47"/>
      <c r="BW520" s="47"/>
    </row>
    <row r="521" ht="21.0" customHeight="1">
      <c r="A521" s="43"/>
      <c r="B521" s="66" t="s">
        <v>474</v>
      </c>
      <c r="C521" s="26">
        <f>vlookup(B521,'재고 백업'!$A:$B,2,0)</f>
        <v>599</v>
      </c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  <c r="AG521" s="47"/>
      <c r="AH521" s="47"/>
      <c r="AI521" s="47"/>
      <c r="AJ521" s="47"/>
      <c r="AK521" s="47"/>
      <c r="AL521" s="47"/>
      <c r="AM521" s="47"/>
      <c r="AN521" s="47"/>
      <c r="AO521" s="47"/>
      <c r="AP521" s="47"/>
      <c r="AQ521" s="47"/>
      <c r="AR521" s="47"/>
      <c r="AS521" s="47"/>
      <c r="AT521" s="47"/>
      <c r="AU521" s="47"/>
      <c r="AV521" s="47"/>
      <c r="AW521" s="47"/>
      <c r="AX521" s="47"/>
      <c r="AY521" s="47"/>
      <c r="AZ521" s="47"/>
      <c r="BA521" s="47"/>
      <c r="BB521" s="47"/>
      <c r="BC521" s="47"/>
      <c r="BD521" s="47"/>
      <c r="BE521" s="47"/>
      <c r="BF521" s="47"/>
      <c r="BG521" s="47"/>
      <c r="BH521" s="47"/>
      <c r="BI521" s="47"/>
      <c r="BJ521" s="47"/>
      <c r="BK521" s="47"/>
      <c r="BL521" s="47"/>
      <c r="BM521" s="47"/>
      <c r="BN521" s="47"/>
      <c r="BO521" s="47"/>
      <c r="BP521" s="47"/>
      <c r="BQ521" s="47"/>
      <c r="BR521" s="47"/>
      <c r="BS521" s="47"/>
      <c r="BT521" s="47"/>
      <c r="BU521" s="47"/>
      <c r="BV521" s="47"/>
      <c r="BW521" s="47"/>
    </row>
    <row r="522" ht="21.0" customHeight="1">
      <c r="A522" s="43"/>
      <c r="B522" s="66" t="s">
        <v>475</v>
      </c>
      <c r="C522" s="26">
        <f>vlookup(B522,'재고 백업'!$A:$B,2,0)</f>
        <v>84</v>
      </c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  <c r="AG522" s="47"/>
      <c r="AH522" s="47"/>
      <c r="AI522" s="47"/>
      <c r="AJ522" s="47"/>
      <c r="AK522" s="47"/>
      <c r="AL522" s="47"/>
      <c r="AM522" s="47"/>
      <c r="AN522" s="47"/>
      <c r="AO522" s="47"/>
      <c r="AP522" s="47"/>
      <c r="AQ522" s="47"/>
      <c r="AR522" s="47"/>
      <c r="AS522" s="47"/>
      <c r="AT522" s="47"/>
      <c r="AU522" s="47"/>
      <c r="AV522" s="47"/>
      <c r="AW522" s="47"/>
      <c r="AX522" s="47"/>
      <c r="AY522" s="47"/>
      <c r="AZ522" s="47"/>
      <c r="BA522" s="47"/>
      <c r="BB522" s="47"/>
      <c r="BC522" s="47"/>
      <c r="BD522" s="47"/>
      <c r="BE522" s="47"/>
      <c r="BF522" s="47"/>
      <c r="BG522" s="47"/>
      <c r="BH522" s="47"/>
      <c r="BI522" s="47"/>
      <c r="BJ522" s="47"/>
      <c r="BK522" s="47"/>
      <c r="BL522" s="47"/>
      <c r="BM522" s="47"/>
      <c r="BN522" s="47"/>
      <c r="BO522" s="47"/>
      <c r="BP522" s="47"/>
      <c r="BQ522" s="47"/>
      <c r="BR522" s="47"/>
      <c r="BS522" s="47"/>
      <c r="BT522" s="47"/>
      <c r="BU522" s="47"/>
      <c r="BV522" s="47"/>
      <c r="BW522" s="47"/>
    </row>
    <row r="523" ht="21.0" customHeight="1">
      <c r="A523" s="43"/>
      <c r="B523" s="66" t="s">
        <v>476</v>
      </c>
      <c r="C523" s="26">
        <f>vlookup(B523,'재고 백업'!$A:$B,2,0)</f>
        <v>69</v>
      </c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  <c r="AG523" s="47"/>
      <c r="AH523" s="47"/>
      <c r="AI523" s="47"/>
      <c r="AJ523" s="47"/>
      <c r="AK523" s="47"/>
      <c r="AL523" s="47"/>
      <c r="AM523" s="47"/>
      <c r="AN523" s="47"/>
      <c r="AO523" s="47"/>
      <c r="AP523" s="47"/>
      <c r="AQ523" s="47"/>
      <c r="AR523" s="47"/>
      <c r="AS523" s="47"/>
      <c r="AT523" s="47"/>
      <c r="AU523" s="47"/>
      <c r="AV523" s="47"/>
      <c r="AW523" s="47"/>
      <c r="AX523" s="47"/>
      <c r="AY523" s="47"/>
      <c r="AZ523" s="47"/>
      <c r="BA523" s="47"/>
      <c r="BB523" s="47"/>
      <c r="BC523" s="47"/>
      <c r="BD523" s="47"/>
      <c r="BE523" s="47"/>
      <c r="BF523" s="47"/>
      <c r="BG523" s="47"/>
      <c r="BH523" s="47"/>
      <c r="BI523" s="47"/>
      <c r="BJ523" s="47"/>
      <c r="BK523" s="47"/>
      <c r="BL523" s="47"/>
      <c r="BM523" s="47"/>
      <c r="BN523" s="47"/>
      <c r="BO523" s="47"/>
      <c r="BP523" s="47"/>
      <c r="BQ523" s="47"/>
      <c r="BR523" s="47"/>
      <c r="BS523" s="47"/>
      <c r="BT523" s="47"/>
      <c r="BU523" s="47"/>
      <c r="BV523" s="47"/>
      <c r="BW523" s="47"/>
    </row>
    <row r="524" ht="21.0" customHeight="1">
      <c r="A524" s="43"/>
      <c r="B524" s="66" t="s">
        <v>477</v>
      </c>
      <c r="C524" s="26">
        <f>vlookup(B524,'재고 백업'!$A:$B,2,0)</f>
        <v>454</v>
      </c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  <c r="AG524" s="47"/>
      <c r="AH524" s="47"/>
      <c r="AI524" s="47"/>
      <c r="AJ524" s="47"/>
      <c r="AK524" s="47"/>
      <c r="AL524" s="47"/>
      <c r="AM524" s="47"/>
      <c r="AN524" s="47"/>
      <c r="AO524" s="47"/>
      <c r="AP524" s="47"/>
      <c r="AQ524" s="47"/>
      <c r="AR524" s="47"/>
      <c r="AS524" s="47"/>
      <c r="AT524" s="47"/>
      <c r="AU524" s="47"/>
      <c r="AV524" s="47"/>
      <c r="AW524" s="47"/>
      <c r="AX524" s="47"/>
      <c r="AY524" s="47"/>
      <c r="AZ524" s="47"/>
      <c r="BA524" s="47"/>
      <c r="BB524" s="47"/>
      <c r="BC524" s="47"/>
      <c r="BD524" s="47"/>
      <c r="BE524" s="47"/>
      <c r="BF524" s="47"/>
      <c r="BG524" s="47"/>
      <c r="BH524" s="47"/>
      <c r="BI524" s="47"/>
      <c r="BJ524" s="47"/>
      <c r="BK524" s="47"/>
      <c r="BL524" s="47"/>
      <c r="BM524" s="47"/>
      <c r="BN524" s="47"/>
      <c r="BO524" s="47"/>
      <c r="BP524" s="47"/>
      <c r="BQ524" s="47"/>
      <c r="BR524" s="47"/>
      <c r="BS524" s="47"/>
      <c r="BT524" s="47"/>
      <c r="BU524" s="47"/>
      <c r="BV524" s="47"/>
      <c r="BW524" s="47"/>
    </row>
    <row r="525" ht="21.0" customHeight="1">
      <c r="A525" s="43"/>
      <c r="B525" s="66" t="s">
        <v>478</v>
      </c>
      <c r="C525" s="26">
        <f>vlookup(B525,'재고 백업'!$A:$B,2,0)</f>
        <v>16</v>
      </c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  <c r="AG525" s="47"/>
      <c r="AH525" s="47"/>
      <c r="AI525" s="47"/>
      <c r="AJ525" s="47"/>
      <c r="AK525" s="47"/>
      <c r="AL525" s="47"/>
      <c r="AM525" s="47"/>
      <c r="AN525" s="47"/>
      <c r="AO525" s="47"/>
      <c r="AP525" s="47"/>
      <c r="AQ525" s="47"/>
      <c r="AR525" s="47"/>
      <c r="AS525" s="47"/>
      <c r="AT525" s="47"/>
      <c r="AU525" s="47"/>
      <c r="AV525" s="47"/>
      <c r="AW525" s="47"/>
      <c r="AX525" s="47"/>
      <c r="AY525" s="47"/>
      <c r="AZ525" s="47"/>
      <c r="BA525" s="47"/>
      <c r="BB525" s="47"/>
      <c r="BC525" s="47"/>
      <c r="BD525" s="47"/>
      <c r="BE525" s="47"/>
      <c r="BF525" s="47"/>
      <c r="BG525" s="47"/>
      <c r="BH525" s="47"/>
      <c r="BI525" s="47"/>
      <c r="BJ525" s="47"/>
      <c r="BK525" s="47"/>
      <c r="BL525" s="47"/>
      <c r="BM525" s="47"/>
      <c r="BN525" s="47"/>
      <c r="BO525" s="47"/>
      <c r="BP525" s="47"/>
      <c r="BQ525" s="47"/>
      <c r="BR525" s="47"/>
      <c r="BS525" s="47"/>
      <c r="BT525" s="47"/>
      <c r="BU525" s="47"/>
      <c r="BV525" s="47"/>
      <c r="BW525" s="47"/>
    </row>
    <row r="526" ht="21.0" customHeight="1">
      <c r="A526" s="43"/>
      <c r="B526" s="66" t="s">
        <v>479</v>
      </c>
      <c r="C526" s="26" t="str">
        <f>vlookup(B526,'재고 백업'!$A:$B,2,0)</f>
        <v>-</v>
      </c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  <c r="AG526" s="47"/>
      <c r="AH526" s="47"/>
      <c r="AI526" s="47"/>
      <c r="AJ526" s="47"/>
      <c r="AK526" s="47"/>
      <c r="AL526" s="47"/>
      <c r="AM526" s="47"/>
      <c r="AN526" s="47"/>
      <c r="AO526" s="47"/>
      <c r="AP526" s="47"/>
      <c r="AQ526" s="47"/>
      <c r="AR526" s="47"/>
      <c r="AS526" s="47"/>
      <c r="AT526" s="47"/>
      <c r="AU526" s="47"/>
      <c r="AV526" s="47"/>
      <c r="AW526" s="47"/>
      <c r="AX526" s="47"/>
      <c r="AY526" s="47"/>
      <c r="AZ526" s="47"/>
      <c r="BA526" s="47"/>
      <c r="BB526" s="47"/>
      <c r="BC526" s="47"/>
      <c r="BD526" s="47"/>
      <c r="BE526" s="47"/>
      <c r="BF526" s="47"/>
      <c r="BG526" s="47"/>
      <c r="BH526" s="47"/>
      <c r="BI526" s="47"/>
      <c r="BJ526" s="47"/>
      <c r="BK526" s="47"/>
      <c r="BL526" s="47"/>
      <c r="BM526" s="47"/>
      <c r="BN526" s="47"/>
      <c r="BO526" s="47"/>
      <c r="BP526" s="47"/>
      <c r="BQ526" s="47"/>
      <c r="BR526" s="47"/>
      <c r="BS526" s="47"/>
      <c r="BT526" s="47"/>
      <c r="BU526" s="47"/>
      <c r="BV526" s="47"/>
      <c r="BW526" s="47"/>
    </row>
    <row r="527" ht="21.0" customHeight="1">
      <c r="A527" s="43"/>
      <c r="B527" s="66" t="s">
        <v>480</v>
      </c>
      <c r="C527" s="26">
        <f>vlookup(B527,'재고 백업'!$A:$B,2,0)</f>
        <v>50</v>
      </c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  <c r="AG527" s="47"/>
      <c r="AH527" s="47"/>
      <c r="AI527" s="47"/>
      <c r="AJ527" s="47"/>
      <c r="AK527" s="47"/>
      <c r="AL527" s="47"/>
      <c r="AM527" s="47"/>
      <c r="AN527" s="47"/>
      <c r="AO527" s="47"/>
      <c r="AP527" s="47"/>
      <c r="AQ527" s="47"/>
      <c r="AR527" s="47"/>
      <c r="AS527" s="47"/>
      <c r="AT527" s="47"/>
      <c r="AU527" s="47"/>
      <c r="AV527" s="47"/>
      <c r="AW527" s="47"/>
      <c r="AX527" s="47"/>
      <c r="AY527" s="47"/>
      <c r="AZ527" s="47"/>
      <c r="BA527" s="47"/>
      <c r="BB527" s="47"/>
      <c r="BC527" s="47"/>
      <c r="BD527" s="47"/>
      <c r="BE527" s="47"/>
      <c r="BF527" s="47"/>
      <c r="BG527" s="47"/>
      <c r="BH527" s="47"/>
      <c r="BI527" s="47"/>
      <c r="BJ527" s="47"/>
      <c r="BK527" s="47"/>
      <c r="BL527" s="47"/>
      <c r="BM527" s="47"/>
      <c r="BN527" s="47"/>
      <c r="BO527" s="47"/>
      <c r="BP527" s="47"/>
      <c r="BQ527" s="47"/>
      <c r="BR527" s="47"/>
      <c r="BS527" s="47"/>
      <c r="BT527" s="47"/>
      <c r="BU527" s="47"/>
      <c r="BV527" s="47"/>
      <c r="BW527" s="47"/>
    </row>
    <row r="528" ht="21.0" customHeight="1">
      <c r="A528" s="43"/>
      <c r="B528" s="66" t="s">
        <v>481</v>
      </c>
      <c r="C528" s="26">
        <f>vlookup(B528,'재고 백업'!$A:$B,2,0)</f>
        <v>61</v>
      </c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  <c r="AG528" s="47"/>
      <c r="AH528" s="47"/>
      <c r="AI528" s="47"/>
      <c r="AJ528" s="47"/>
      <c r="AK528" s="47"/>
      <c r="AL528" s="47"/>
      <c r="AM528" s="47"/>
      <c r="AN528" s="47"/>
      <c r="AO528" s="47"/>
      <c r="AP528" s="47"/>
      <c r="AQ528" s="47"/>
      <c r="AR528" s="47"/>
      <c r="AS528" s="47"/>
      <c r="AT528" s="47"/>
      <c r="AU528" s="47"/>
      <c r="AV528" s="47"/>
      <c r="AW528" s="47"/>
      <c r="AX528" s="47"/>
      <c r="AY528" s="47"/>
      <c r="AZ528" s="47"/>
      <c r="BA528" s="47"/>
      <c r="BB528" s="47"/>
      <c r="BC528" s="47"/>
      <c r="BD528" s="47"/>
      <c r="BE528" s="47"/>
      <c r="BF528" s="47"/>
      <c r="BG528" s="47"/>
      <c r="BH528" s="47"/>
      <c r="BI528" s="47"/>
      <c r="BJ528" s="47"/>
      <c r="BK528" s="47"/>
      <c r="BL528" s="47"/>
      <c r="BM528" s="47"/>
      <c r="BN528" s="47"/>
      <c r="BO528" s="47"/>
      <c r="BP528" s="47"/>
      <c r="BQ528" s="47"/>
      <c r="BR528" s="47"/>
      <c r="BS528" s="47"/>
      <c r="BT528" s="47"/>
      <c r="BU528" s="47"/>
      <c r="BV528" s="47"/>
      <c r="BW528" s="47"/>
    </row>
    <row r="529" ht="21.0" customHeight="1">
      <c r="A529" s="43"/>
      <c r="B529" s="66" t="s">
        <v>482</v>
      </c>
      <c r="C529" s="26">
        <f>vlookup(B529,'재고 백업'!$A:$B,2,0)</f>
        <v>154</v>
      </c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  <c r="AG529" s="47"/>
      <c r="AH529" s="47"/>
      <c r="AI529" s="47"/>
      <c r="AJ529" s="47"/>
      <c r="AK529" s="47"/>
      <c r="AL529" s="47"/>
      <c r="AM529" s="47"/>
      <c r="AN529" s="47"/>
      <c r="AO529" s="47"/>
      <c r="AP529" s="47"/>
      <c r="AQ529" s="47"/>
      <c r="AR529" s="47"/>
      <c r="AS529" s="47"/>
      <c r="AT529" s="47"/>
      <c r="AU529" s="47"/>
      <c r="AV529" s="47"/>
      <c r="AW529" s="47"/>
      <c r="AX529" s="47"/>
      <c r="AY529" s="47"/>
      <c r="AZ529" s="47"/>
      <c r="BA529" s="47"/>
      <c r="BB529" s="47"/>
      <c r="BC529" s="47"/>
      <c r="BD529" s="47"/>
      <c r="BE529" s="47"/>
      <c r="BF529" s="47"/>
      <c r="BG529" s="47"/>
      <c r="BH529" s="47"/>
      <c r="BI529" s="47"/>
      <c r="BJ529" s="47"/>
      <c r="BK529" s="47"/>
      <c r="BL529" s="47"/>
      <c r="BM529" s="47"/>
      <c r="BN529" s="47"/>
      <c r="BO529" s="47"/>
      <c r="BP529" s="47"/>
      <c r="BQ529" s="47"/>
      <c r="BR529" s="47"/>
      <c r="BS529" s="47"/>
      <c r="BT529" s="47"/>
      <c r="BU529" s="47"/>
      <c r="BV529" s="47"/>
      <c r="BW529" s="47"/>
    </row>
    <row r="530" ht="21.0" customHeight="1">
      <c r="A530" s="43"/>
      <c r="B530" s="66" t="s">
        <v>483</v>
      </c>
      <c r="C530" s="26">
        <f>vlookup(B530,'재고 백업'!$A:$B,2,0)</f>
        <v>22</v>
      </c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  <c r="AG530" s="47"/>
      <c r="AH530" s="47"/>
      <c r="AI530" s="47"/>
      <c r="AJ530" s="47"/>
      <c r="AK530" s="47"/>
      <c r="AL530" s="47"/>
      <c r="AM530" s="47"/>
      <c r="AN530" s="47"/>
      <c r="AO530" s="47"/>
      <c r="AP530" s="47"/>
      <c r="AQ530" s="47"/>
      <c r="AR530" s="47"/>
      <c r="AS530" s="47"/>
      <c r="AT530" s="47"/>
      <c r="AU530" s="47"/>
      <c r="AV530" s="47"/>
      <c r="AW530" s="47"/>
      <c r="AX530" s="47"/>
      <c r="AY530" s="47"/>
      <c r="AZ530" s="47"/>
      <c r="BA530" s="47"/>
      <c r="BB530" s="47"/>
      <c r="BC530" s="47"/>
      <c r="BD530" s="47"/>
      <c r="BE530" s="47"/>
      <c r="BF530" s="47"/>
      <c r="BG530" s="47"/>
      <c r="BH530" s="47"/>
      <c r="BI530" s="47"/>
      <c r="BJ530" s="47"/>
      <c r="BK530" s="47"/>
      <c r="BL530" s="47"/>
      <c r="BM530" s="47"/>
      <c r="BN530" s="47"/>
      <c r="BO530" s="47"/>
      <c r="BP530" s="47"/>
      <c r="BQ530" s="47"/>
      <c r="BR530" s="47"/>
      <c r="BS530" s="47"/>
      <c r="BT530" s="47"/>
      <c r="BU530" s="47"/>
      <c r="BV530" s="47"/>
      <c r="BW530" s="47"/>
    </row>
    <row r="531" ht="21.0" customHeight="1">
      <c r="A531" s="43"/>
      <c r="B531" s="66" t="s">
        <v>484</v>
      </c>
      <c r="C531" s="26">
        <f>vlookup(B531,'재고 백업'!$A:$B,2,0)</f>
        <v>122</v>
      </c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  <c r="AG531" s="47"/>
      <c r="AH531" s="47"/>
      <c r="AI531" s="47"/>
      <c r="AJ531" s="47"/>
      <c r="AK531" s="47"/>
      <c r="AL531" s="47"/>
      <c r="AM531" s="47"/>
      <c r="AN531" s="47"/>
      <c r="AO531" s="47"/>
      <c r="AP531" s="47"/>
      <c r="AQ531" s="47"/>
      <c r="AR531" s="47"/>
      <c r="AS531" s="47"/>
      <c r="AT531" s="47"/>
      <c r="AU531" s="47"/>
      <c r="AV531" s="47"/>
      <c r="AW531" s="47"/>
      <c r="AX531" s="47"/>
      <c r="AY531" s="47"/>
      <c r="AZ531" s="47"/>
      <c r="BA531" s="47"/>
      <c r="BB531" s="47"/>
      <c r="BC531" s="47"/>
      <c r="BD531" s="47"/>
      <c r="BE531" s="47"/>
      <c r="BF531" s="47"/>
      <c r="BG531" s="47"/>
      <c r="BH531" s="47"/>
      <c r="BI531" s="47"/>
      <c r="BJ531" s="47"/>
      <c r="BK531" s="47"/>
      <c r="BL531" s="47"/>
      <c r="BM531" s="47"/>
      <c r="BN531" s="47"/>
      <c r="BO531" s="47"/>
      <c r="BP531" s="47"/>
      <c r="BQ531" s="47"/>
      <c r="BR531" s="47"/>
      <c r="BS531" s="47"/>
      <c r="BT531" s="47"/>
      <c r="BU531" s="47"/>
      <c r="BV531" s="47"/>
      <c r="BW531" s="47"/>
    </row>
    <row r="532" ht="21.0" customHeight="1">
      <c r="A532" s="43"/>
      <c r="B532" s="66" t="s">
        <v>485</v>
      </c>
      <c r="C532" s="26">
        <f>vlookup(B532,'재고 백업'!$A:$B,2,0)</f>
        <v>132</v>
      </c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  <c r="AG532" s="47"/>
      <c r="AH532" s="47"/>
      <c r="AI532" s="47"/>
      <c r="AJ532" s="47"/>
      <c r="AK532" s="47"/>
      <c r="AL532" s="47"/>
      <c r="AM532" s="47"/>
      <c r="AN532" s="47"/>
      <c r="AO532" s="47"/>
      <c r="AP532" s="47"/>
      <c r="AQ532" s="47"/>
      <c r="AR532" s="47"/>
      <c r="AS532" s="47"/>
      <c r="AT532" s="47"/>
      <c r="AU532" s="47"/>
      <c r="AV532" s="47"/>
      <c r="AW532" s="47"/>
      <c r="AX532" s="47"/>
      <c r="AY532" s="47"/>
      <c r="AZ532" s="47"/>
      <c r="BA532" s="47"/>
      <c r="BB532" s="47"/>
      <c r="BC532" s="47"/>
      <c r="BD532" s="47"/>
      <c r="BE532" s="47"/>
      <c r="BF532" s="47"/>
      <c r="BG532" s="47"/>
      <c r="BH532" s="47"/>
      <c r="BI532" s="47"/>
      <c r="BJ532" s="47"/>
      <c r="BK532" s="47"/>
      <c r="BL532" s="47"/>
      <c r="BM532" s="47"/>
      <c r="BN532" s="47"/>
      <c r="BO532" s="47"/>
      <c r="BP532" s="47"/>
      <c r="BQ532" s="47"/>
      <c r="BR532" s="47"/>
      <c r="BS532" s="47"/>
      <c r="BT532" s="47"/>
      <c r="BU532" s="47"/>
      <c r="BV532" s="47"/>
      <c r="BW532" s="47"/>
    </row>
    <row r="533" ht="21.0" customHeight="1">
      <c r="A533" s="43"/>
      <c r="B533" s="66" t="s">
        <v>486</v>
      </c>
      <c r="C533" s="26" t="str">
        <f>vlookup(B533,'재고 백업'!$A:$B,2,0)</f>
        <v>-</v>
      </c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  <c r="AG533" s="47"/>
      <c r="AH533" s="47"/>
      <c r="AI533" s="47"/>
      <c r="AJ533" s="47"/>
      <c r="AK533" s="47"/>
      <c r="AL533" s="47"/>
      <c r="AM533" s="47"/>
      <c r="AN533" s="47"/>
      <c r="AO533" s="47"/>
      <c r="AP533" s="47"/>
      <c r="AQ533" s="47"/>
      <c r="AR533" s="47"/>
      <c r="AS533" s="47"/>
      <c r="AT533" s="47"/>
      <c r="AU533" s="47"/>
      <c r="AV533" s="47"/>
      <c r="AW533" s="47"/>
      <c r="AX533" s="47"/>
      <c r="AY533" s="47"/>
      <c r="AZ533" s="47"/>
      <c r="BA533" s="47"/>
      <c r="BB533" s="47"/>
      <c r="BC533" s="47"/>
      <c r="BD533" s="47"/>
      <c r="BE533" s="47"/>
      <c r="BF533" s="47"/>
      <c r="BG533" s="47"/>
      <c r="BH533" s="47"/>
      <c r="BI533" s="47"/>
      <c r="BJ533" s="47"/>
      <c r="BK533" s="47"/>
      <c r="BL533" s="47"/>
      <c r="BM533" s="47"/>
      <c r="BN533" s="47"/>
      <c r="BO533" s="47"/>
      <c r="BP533" s="47"/>
      <c r="BQ533" s="47"/>
      <c r="BR533" s="47"/>
      <c r="BS533" s="47"/>
      <c r="BT533" s="47"/>
      <c r="BU533" s="47"/>
      <c r="BV533" s="47"/>
      <c r="BW533" s="47"/>
    </row>
    <row r="534" ht="21.0" customHeight="1">
      <c r="A534" s="43"/>
      <c r="B534" s="66" t="s">
        <v>487</v>
      </c>
      <c r="C534" s="26">
        <f>vlookup(B534,'재고 백업'!$A:$B,2,0)</f>
        <v>36</v>
      </c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  <c r="AG534" s="47"/>
      <c r="AH534" s="47"/>
      <c r="AI534" s="47"/>
      <c r="AJ534" s="47"/>
      <c r="AK534" s="47"/>
      <c r="AL534" s="47"/>
      <c r="AM534" s="47"/>
      <c r="AN534" s="47"/>
      <c r="AO534" s="47"/>
      <c r="AP534" s="47"/>
      <c r="AQ534" s="47"/>
      <c r="AR534" s="47"/>
      <c r="AS534" s="47"/>
      <c r="AT534" s="47"/>
      <c r="AU534" s="47"/>
      <c r="AV534" s="47"/>
      <c r="AW534" s="47"/>
      <c r="AX534" s="47"/>
      <c r="AY534" s="47"/>
      <c r="AZ534" s="47"/>
      <c r="BA534" s="47"/>
      <c r="BB534" s="47"/>
      <c r="BC534" s="47"/>
      <c r="BD534" s="47"/>
      <c r="BE534" s="47"/>
      <c r="BF534" s="47"/>
      <c r="BG534" s="47"/>
      <c r="BH534" s="47"/>
      <c r="BI534" s="47"/>
      <c r="BJ534" s="47"/>
      <c r="BK534" s="47"/>
      <c r="BL534" s="47"/>
      <c r="BM534" s="47"/>
      <c r="BN534" s="47"/>
      <c r="BO534" s="47"/>
      <c r="BP534" s="47"/>
      <c r="BQ534" s="47"/>
      <c r="BR534" s="47"/>
      <c r="BS534" s="47"/>
      <c r="BT534" s="47"/>
      <c r="BU534" s="47"/>
      <c r="BV534" s="47"/>
      <c r="BW534" s="47"/>
    </row>
    <row r="535" ht="21.0" customHeight="1">
      <c r="A535" s="43"/>
      <c r="B535" s="66" t="s">
        <v>488</v>
      </c>
      <c r="C535" s="26">
        <f>vlookup(B535,'재고 백업'!$A:$B,2,0)</f>
        <v>99</v>
      </c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  <c r="AG535" s="47"/>
      <c r="AH535" s="47"/>
      <c r="AI535" s="47"/>
      <c r="AJ535" s="47"/>
      <c r="AK535" s="47"/>
      <c r="AL535" s="47"/>
      <c r="AM535" s="47"/>
      <c r="AN535" s="47"/>
      <c r="AO535" s="47"/>
      <c r="AP535" s="47"/>
      <c r="AQ535" s="47"/>
      <c r="AR535" s="47"/>
      <c r="AS535" s="47"/>
      <c r="AT535" s="47"/>
      <c r="AU535" s="47"/>
      <c r="AV535" s="47"/>
      <c r="AW535" s="47"/>
      <c r="AX535" s="47"/>
      <c r="AY535" s="47"/>
      <c r="AZ535" s="47"/>
      <c r="BA535" s="47"/>
      <c r="BB535" s="47"/>
      <c r="BC535" s="47"/>
      <c r="BD535" s="47"/>
      <c r="BE535" s="47"/>
      <c r="BF535" s="47"/>
      <c r="BG535" s="47"/>
      <c r="BH535" s="47"/>
      <c r="BI535" s="47"/>
      <c r="BJ535" s="47"/>
      <c r="BK535" s="47"/>
      <c r="BL535" s="47"/>
      <c r="BM535" s="47"/>
      <c r="BN535" s="47"/>
      <c r="BO535" s="47"/>
      <c r="BP535" s="47"/>
      <c r="BQ535" s="47"/>
      <c r="BR535" s="47"/>
      <c r="BS535" s="47"/>
      <c r="BT535" s="47"/>
      <c r="BU535" s="47"/>
      <c r="BV535" s="47"/>
      <c r="BW535" s="47"/>
    </row>
    <row r="536" ht="21.0" customHeight="1">
      <c r="A536" s="43"/>
      <c r="B536" s="66" t="s">
        <v>489</v>
      </c>
      <c r="C536" s="26" t="str">
        <f>vlookup(B536,'재고 백업'!$A:$B,2,0)</f>
        <v>-</v>
      </c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  <c r="AG536" s="47"/>
      <c r="AH536" s="47"/>
      <c r="AI536" s="47"/>
      <c r="AJ536" s="47"/>
      <c r="AK536" s="47"/>
      <c r="AL536" s="47"/>
      <c r="AM536" s="47"/>
      <c r="AN536" s="47"/>
      <c r="AO536" s="47"/>
      <c r="AP536" s="47"/>
      <c r="AQ536" s="47"/>
      <c r="AR536" s="47"/>
      <c r="AS536" s="47"/>
      <c r="AT536" s="47"/>
      <c r="AU536" s="47"/>
      <c r="AV536" s="47"/>
      <c r="AW536" s="47"/>
      <c r="AX536" s="47"/>
      <c r="AY536" s="47"/>
      <c r="AZ536" s="47"/>
      <c r="BA536" s="47"/>
      <c r="BB536" s="47"/>
      <c r="BC536" s="47"/>
      <c r="BD536" s="47"/>
      <c r="BE536" s="47"/>
      <c r="BF536" s="47"/>
      <c r="BG536" s="47"/>
      <c r="BH536" s="47"/>
      <c r="BI536" s="47"/>
      <c r="BJ536" s="47"/>
      <c r="BK536" s="47"/>
      <c r="BL536" s="47"/>
      <c r="BM536" s="47"/>
      <c r="BN536" s="47"/>
      <c r="BO536" s="47"/>
      <c r="BP536" s="47"/>
      <c r="BQ536" s="47"/>
      <c r="BR536" s="47"/>
      <c r="BS536" s="47"/>
      <c r="BT536" s="47"/>
      <c r="BU536" s="47"/>
      <c r="BV536" s="47"/>
      <c r="BW536" s="47"/>
    </row>
    <row r="537" ht="21.0" customHeight="1">
      <c r="A537" s="43"/>
      <c r="B537" s="66" t="s">
        <v>490</v>
      </c>
      <c r="C537" s="26">
        <f>vlookup(B537,'재고 백업'!$A:$B,2,0)</f>
        <v>127</v>
      </c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  <c r="AG537" s="47"/>
      <c r="AH537" s="47"/>
      <c r="AI537" s="47"/>
      <c r="AJ537" s="47"/>
      <c r="AK537" s="47"/>
      <c r="AL537" s="47"/>
      <c r="AM537" s="47"/>
      <c r="AN537" s="47"/>
      <c r="AO537" s="47"/>
      <c r="AP537" s="47"/>
      <c r="AQ537" s="47"/>
      <c r="AR537" s="47"/>
      <c r="AS537" s="47"/>
      <c r="AT537" s="47"/>
      <c r="AU537" s="47"/>
      <c r="AV537" s="47"/>
      <c r="AW537" s="47"/>
      <c r="AX537" s="47"/>
      <c r="AY537" s="47"/>
      <c r="AZ537" s="47"/>
      <c r="BA537" s="47"/>
      <c r="BB537" s="47"/>
      <c r="BC537" s="47"/>
      <c r="BD537" s="47"/>
      <c r="BE537" s="47"/>
      <c r="BF537" s="47"/>
      <c r="BG537" s="47"/>
      <c r="BH537" s="47"/>
      <c r="BI537" s="47"/>
      <c r="BJ537" s="47"/>
      <c r="BK537" s="47"/>
      <c r="BL537" s="47"/>
      <c r="BM537" s="47"/>
      <c r="BN537" s="47"/>
      <c r="BO537" s="47"/>
      <c r="BP537" s="47"/>
      <c r="BQ537" s="47"/>
      <c r="BR537" s="47"/>
      <c r="BS537" s="47"/>
      <c r="BT537" s="47"/>
      <c r="BU537" s="47"/>
      <c r="BV537" s="47"/>
      <c r="BW537" s="47"/>
    </row>
    <row r="538" ht="21.0" customHeight="1">
      <c r="A538" s="43"/>
      <c r="B538" s="66" t="s">
        <v>491</v>
      </c>
      <c r="C538" s="26">
        <f>vlookup(B538,'재고 백업'!$A:$B,2,0)</f>
        <v>148</v>
      </c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  <c r="AG538" s="47"/>
      <c r="AH538" s="47"/>
      <c r="AI538" s="47"/>
      <c r="AJ538" s="47"/>
      <c r="AK538" s="47"/>
      <c r="AL538" s="47"/>
      <c r="AM538" s="47"/>
      <c r="AN538" s="47"/>
      <c r="AO538" s="47"/>
      <c r="AP538" s="47"/>
      <c r="AQ538" s="47"/>
      <c r="AR538" s="47"/>
      <c r="AS538" s="47"/>
      <c r="AT538" s="47"/>
      <c r="AU538" s="47"/>
      <c r="AV538" s="47"/>
      <c r="AW538" s="47"/>
      <c r="AX538" s="47"/>
      <c r="AY538" s="47"/>
      <c r="AZ538" s="47"/>
      <c r="BA538" s="47"/>
      <c r="BB538" s="47"/>
      <c r="BC538" s="47"/>
      <c r="BD538" s="47"/>
      <c r="BE538" s="47"/>
      <c r="BF538" s="47"/>
      <c r="BG538" s="47"/>
      <c r="BH538" s="47"/>
      <c r="BI538" s="47"/>
      <c r="BJ538" s="47"/>
      <c r="BK538" s="47"/>
      <c r="BL538" s="47"/>
      <c r="BM538" s="47"/>
      <c r="BN538" s="47"/>
      <c r="BO538" s="47"/>
      <c r="BP538" s="47"/>
      <c r="BQ538" s="47"/>
      <c r="BR538" s="47"/>
      <c r="BS538" s="47"/>
      <c r="BT538" s="47"/>
      <c r="BU538" s="47"/>
      <c r="BV538" s="47"/>
      <c r="BW538" s="47"/>
    </row>
    <row r="539" ht="21.0" customHeight="1">
      <c r="A539" s="43"/>
      <c r="B539" s="66" t="s">
        <v>492</v>
      </c>
      <c r="C539" s="26">
        <f>vlookup(B539,'재고 백업'!$A:$B,2,0)</f>
        <v>103</v>
      </c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  <c r="AG539" s="47"/>
      <c r="AH539" s="47"/>
      <c r="AI539" s="47"/>
      <c r="AJ539" s="47"/>
      <c r="AK539" s="47"/>
      <c r="AL539" s="47"/>
      <c r="AM539" s="47"/>
      <c r="AN539" s="47"/>
      <c r="AO539" s="47"/>
      <c r="AP539" s="47"/>
      <c r="AQ539" s="47"/>
      <c r="AR539" s="47"/>
      <c r="AS539" s="47"/>
      <c r="AT539" s="47"/>
      <c r="AU539" s="47"/>
      <c r="AV539" s="47"/>
      <c r="AW539" s="47"/>
      <c r="AX539" s="47"/>
      <c r="AY539" s="47"/>
      <c r="AZ539" s="47"/>
      <c r="BA539" s="47"/>
      <c r="BB539" s="47"/>
      <c r="BC539" s="47"/>
      <c r="BD539" s="47"/>
      <c r="BE539" s="47"/>
      <c r="BF539" s="47"/>
      <c r="BG539" s="47"/>
      <c r="BH539" s="47"/>
      <c r="BI539" s="47"/>
      <c r="BJ539" s="47"/>
      <c r="BK539" s="47"/>
      <c r="BL539" s="47"/>
      <c r="BM539" s="47"/>
      <c r="BN539" s="47"/>
      <c r="BO539" s="47"/>
      <c r="BP539" s="47"/>
      <c r="BQ539" s="47"/>
      <c r="BR539" s="47"/>
      <c r="BS539" s="47"/>
      <c r="BT539" s="47"/>
      <c r="BU539" s="47"/>
      <c r="BV539" s="47"/>
      <c r="BW539" s="47"/>
    </row>
    <row r="540" ht="21.0" customHeight="1">
      <c r="A540" s="43"/>
      <c r="B540" s="36" t="s">
        <v>493</v>
      </c>
      <c r="C540" s="26">
        <f>vlookup(B540,'재고 백업'!$A:$B,2,0)</f>
        <v>36</v>
      </c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  <c r="AG540" s="47"/>
      <c r="AH540" s="47"/>
      <c r="AI540" s="47"/>
      <c r="AJ540" s="47"/>
      <c r="AK540" s="47"/>
      <c r="AL540" s="47"/>
      <c r="AM540" s="47"/>
      <c r="AN540" s="47"/>
      <c r="AO540" s="47"/>
      <c r="AP540" s="47"/>
      <c r="AQ540" s="47"/>
      <c r="AR540" s="47"/>
      <c r="AS540" s="47"/>
      <c r="AT540" s="47"/>
      <c r="AU540" s="47"/>
      <c r="AV540" s="47"/>
      <c r="AW540" s="47"/>
      <c r="AX540" s="47"/>
      <c r="AY540" s="47"/>
      <c r="AZ540" s="47"/>
      <c r="BA540" s="47"/>
      <c r="BB540" s="47"/>
      <c r="BC540" s="47"/>
      <c r="BD540" s="47"/>
      <c r="BE540" s="47"/>
      <c r="BF540" s="47"/>
      <c r="BG540" s="47"/>
      <c r="BH540" s="47"/>
      <c r="BI540" s="47"/>
      <c r="BJ540" s="47"/>
      <c r="BK540" s="47"/>
      <c r="BL540" s="47"/>
      <c r="BM540" s="47"/>
      <c r="BN540" s="47"/>
      <c r="BO540" s="47"/>
      <c r="BP540" s="47"/>
      <c r="BQ540" s="47"/>
      <c r="BR540" s="47"/>
      <c r="BS540" s="47"/>
      <c r="BT540" s="47"/>
      <c r="BU540" s="47"/>
      <c r="BV540" s="47"/>
      <c r="BW540" s="47"/>
    </row>
    <row r="541" ht="21.0" customHeight="1">
      <c r="A541" s="43"/>
      <c r="B541" s="36" t="s">
        <v>494</v>
      </c>
      <c r="C541" s="26">
        <f>vlookup(B541,'재고 백업'!$A:$B,2,0)</f>
        <v>148</v>
      </c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  <c r="AG541" s="47"/>
      <c r="AH541" s="47"/>
      <c r="AI541" s="47"/>
      <c r="AJ541" s="47"/>
      <c r="AK541" s="47"/>
      <c r="AL541" s="47"/>
      <c r="AM541" s="47"/>
      <c r="AN541" s="47"/>
      <c r="AO541" s="47"/>
      <c r="AP541" s="47"/>
      <c r="AQ541" s="47"/>
      <c r="AR541" s="47"/>
      <c r="AS541" s="47"/>
      <c r="AT541" s="47"/>
      <c r="AU541" s="47"/>
      <c r="AV541" s="47"/>
      <c r="AW541" s="47"/>
      <c r="AX541" s="47"/>
      <c r="AY541" s="47"/>
      <c r="AZ541" s="47"/>
      <c r="BA541" s="47"/>
      <c r="BB541" s="47"/>
      <c r="BC541" s="47"/>
      <c r="BD541" s="47"/>
      <c r="BE541" s="47"/>
      <c r="BF541" s="47"/>
      <c r="BG541" s="47"/>
      <c r="BH541" s="47"/>
      <c r="BI541" s="47"/>
      <c r="BJ541" s="47"/>
      <c r="BK541" s="47"/>
      <c r="BL541" s="47"/>
      <c r="BM541" s="47"/>
      <c r="BN541" s="47"/>
      <c r="BO541" s="47"/>
      <c r="BP541" s="47"/>
      <c r="BQ541" s="47"/>
      <c r="BR541" s="47"/>
      <c r="BS541" s="47"/>
      <c r="BT541" s="47"/>
      <c r="BU541" s="47"/>
      <c r="BV541" s="47"/>
      <c r="BW541" s="47"/>
    </row>
    <row r="542" ht="21.0" customHeight="1">
      <c r="A542" s="43"/>
      <c r="B542" s="36" t="s">
        <v>495</v>
      </c>
      <c r="C542" s="21" t="str">
        <f>vlookup(B542,'재고 백업'!$A:$B,2,0)</f>
        <v>-</v>
      </c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  <c r="AG542" s="47"/>
      <c r="AH542" s="47"/>
      <c r="AI542" s="47"/>
      <c r="AJ542" s="47"/>
      <c r="AK542" s="47"/>
      <c r="AL542" s="47"/>
      <c r="AM542" s="47"/>
      <c r="AN542" s="47"/>
      <c r="AO542" s="47"/>
      <c r="AP542" s="47"/>
      <c r="AQ542" s="47"/>
      <c r="AR542" s="47"/>
      <c r="AS542" s="47"/>
      <c r="AT542" s="47"/>
      <c r="AU542" s="47"/>
      <c r="AV542" s="47"/>
      <c r="AW542" s="47"/>
      <c r="AX542" s="47"/>
      <c r="AY542" s="47"/>
      <c r="AZ542" s="47"/>
      <c r="BA542" s="47"/>
      <c r="BB542" s="47"/>
      <c r="BC542" s="47"/>
      <c r="BD542" s="47"/>
      <c r="BE542" s="47"/>
      <c r="BF542" s="47"/>
      <c r="BG542" s="47"/>
      <c r="BH542" s="47"/>
      <c r="BI542" s="47"/>
      <c r="BJ542" s="47"/>
      <c r="BK542" s="47"/>
      <c r="BL542" s="47"/>
      <c r="BM542" s="47"/>
      <c r="BN542" s="47"/>
      <c r="BO542" s="47"/>
      <c r="BP542" s="47"/>
      <c r="BQ542" s="47"/>
      <c r="BR542" s="47"/>
      <c r="BS542" s="47"/>
      <c r="BT542" s="47"/>
      <c r="BU542" s="47"/>
      <c r="BV542" s="47"/>
      <c r="BW542" s="47"/>
    </row>
    <row r="543" ht="21.0" customHeight="1">
      <c r="A543" s="43"/>
      <c r="B543" s="36" t="s">
        <v>496</v>
      </c>
      <c r="C543" s="26" t="str">
        <f>vlookup(B543,'재고 백업'!$A:$B,2,0)</f>
        <v>-</v>
      </c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  <c r="AG543" s="47"/>
      <c r="AH543" s="47"/>
      <c r="AI543" s="47"/>
      <c r="AJ543" s="47"/>
      <c r="AK543" s="47"/>
      <c r="AL543" s="47"/>
      <c r="AM543" s="47"/>
      <c r="AN543" s="47"/>
      <c r="AO543" s="47"/>
      <c r="AP543" s="47"/>
      <c r="AQ543" s="47"/>
      <c r="AR543" s="47"/>
      <c r="AS543" s="47"/>
      <c r="AT543" s="47"/>
      <c r="AU543" s="47"/>
      <c r="AV543" s="47"/>
      <c r="AW543" s="47"/>
      <c r="AX543" s="47"/>
      <c r="AY543" s="47"/>
      <c r="AZ543" s="47"/>
      <c r="BA543" s="47"/>
      <c r="BB543" s="47"/>
      <c r="BC543" s="47"/>
      <c r="BD543" s="47"/>
      <c r="BE543" s="47"/>
      <c r="BF543" s="47"/>
      <c r="BG543" s="47"/>
      <c r="BH543" s="47"/>
      <c r="BI543" s="47"/>
      <c r="BJ543" s="47"/>
      <c r="BK543" s="47"/>
      <c r="BL543" s="47"/>
      <c r="BM543" s="47"/>
      <c r="BN543" s="47"/>
      <c r="BO543" s="47"/>
      <c r="BP543" s="47"/>
      <c r="BQ543" s="47"/>
      <c r="BR543" s="47"/>
      <c r="BS543" s="47"/>
      <c r="BT543" s="47"/>
      <c r="BU543" s="47"/>
      <c r="BV543" s="47"/>
      <c r="BW543" s="47"/>
    </row>
    <row r="544" ht="21.0" customHeight="1">
      <c r="A544" s="43"/>
      <c r="B544" s="36" t="s">
        <v>497</v>
      </c>
      <c r="C544" s="26" t="str">
        <f>vlookup(B544,'재고 백업'!$A:$B,2,0)</f>
        <v>-</v>
      </c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  <c r="AG544" s="47"/>
      <c r="AH544" s="47"/>
      <c r="AI544" s="47"/>
      <c r="AJ544" s="47"/>
      <c r="AK544" s="47"/>
      <c r="AL544" s="47"/>
      <c r="AM544" s="47"/>
      <c r="AN544" s="47"/>
      <c r="AO544" s="47"/>
      <c r="AP544" s="47"/>
      <c r="AQ544" s="47"/>
      <c r="AR544" s="47"/>
      <c r="AS544" s="47"/>
      <c r="AT544" s="47"/>
      <c r="AU544" s="47"/>
      <c r="AV544" s="47"/>
      <c r="AW544" s="47"/>
      <c r="AX544" s="47"/>
      <c r="AY544" s="47"/>
      <c r="AZ544" s="47"/>
      <c r="BA544" s="47"/>
      <c r="BB544" s="47"/>
      <c r="BC544" s="47"/>
      <c r="BD544" s="47"/>
      <c r="BE544" s="47"/>
      <c r="BF544" s="47"/>
      <c r="BG544" s="47"/>
      <c r="BH544" s="47"/>
      <c r="BI544" s="47"/>
      <c r="BJ544" s="47"/>
      <c r="BK544" s="47"/>
      <c r="BL544" s="47"/>
      <c r="BM544" s="47"/>
      <c r="BN544" s="47"/>
      <c r="BO544" s="47"/>
      <c r="BP544" s="47"/>
      <c r="BQ544" s="47"/>
      <c r="BR544" s="47"/>
      <c r="BS544" s="47"/>
      <c r="BT544" s="47"/>
      <c r="BU544" s="47"/>
      <c r="BV544" s="47"/>
      <c r="BW544" s="47"/>
    </row>
    <row r="545" ht="21.0" customHeight="1">
      <c r="A545" s="43"/>
      <c r="B545" s="36" t="s">
        <v>498</v>
      </c>
      <c r="C545" s="26" t="str">
        <f>vlookup(B545,'재고 백업'!$A:$B,2,0)</f>
        <v>-</v>
      </c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  <c r="AG545" s="47"/>
      <c r="AH545" s="47"/>
      <c r="AI545" s="47"/>
      <c r="AJ545" s="47"/>
      <c r="AK545" s="47"/>
      <c r="AL545" s="47"/>
      <c r="AM545" s="47"/>
      <c r="AN545" s="47"/>
      <c r="AO545" s="47"/>
      <c r="AP545" s="47"/>
      <c r="AQ545" s="47"/>
      <c r="AR545" s="47"/>
      <c r="AS545" s="47"/>
      <c r="AT545" s="47"/>
      <c r="AU545" s="47"/>
      <c r="AV545" s="47"/>
      <c r="AW545" s="47"/>
      <c r="AX545" s="47"/>
      <c r="AY545" s="47"/>
      <c r="AZ545" s="47"/>
      <c r="BA545" s="47"/>
      <c r="BB545" s="47"/>
      <c r="BC545" s="47"/>
      <c r="BD545" s="47"/>
      <c r="BE545" s="47"/>
      <c r="BF545" s="47"/>
      <c r="BG545" s="47"/>
      <c r="BH545" s="47"/>
      <c r="BI545" s="47"/>
      <c r="BJ545" s="47"/>
      <c r="BK545" s="47"/>
      <c r="BL545" s="47"/>
      <c r="BM545" s="47"/>
      <c r="BN545" s="47"/>
      <c r="BO545" s="47"/>
      <c r="BP545" s="47"/>
      <c r="BQ545" s="47"/>
      <c r="BR545" s="47"/>
      <c r="BS545" s="47"/>
      <c r="BT545" s="47"/>
      <c r="BU545" s="47"/>
      <c r="BV545" s="47"/>
      <c r="BW545" s="47"/>
    </row>
    <row r="546" ht="21.0" customHeight="1">
      <c r="A546" s="43"/>
      <c r="B546" s="36" t="s">
        <v>499</v>
      </c>
      <c r="C546" s="26" t="str">
        <f>vlookup(B546,'재고 백업'!$A:$B,2,0)</f>
        <v>-</v>
      </c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  <c r="AG546" s="47"/>
      <c r="AH546" s="47"/>
      <c r="AI546" s="47"/>
      <c r="AJ546" s="47"/>
      <c r="AK546" s="47"/>
      <c r="AL546" s="47"/>
      <c r="AM546" s="47"/>
      <c r="AN546" s="47"/>
      <c r="AO546" s="47"/>
      <c r="AP546" s="47"/>
      <c r="AQ546" s="47"/>
      <c r="AR546" s="47"/>
      <c r="AS546" s="47"/>
      <c r="AT546" s="47"/>
      <c r="AU546" s="47"/>
      <c r="AV546" s="47"/>
      <c r="AW546" s="47"/>
      <c r="AX546" s="47"/>
      <c r="AY546" s="47"/>
      <c r="AZ546" s="47"/>
      <c r="BA546" s="47"/>
      <c r="BB546" s="47"/>
      <c r="BC546" s="47"/>
      <c r="BD546" s="47"/>
      <c r="BE546" s="47"/>
      <c r="BF546" s="47"/>
      <c r="BG546" s="47"/>
      <c r="BH546" s="47"/>
      <c r="BI546" s="47"/>
      <c r="BJ546" s="47"/>
      <c r="BK546" s="47"/>
      <c r="BL546" s="47"/>
      <c r="BM546" s="47"/>
      <c r="BN546" s="47"/>
      <c r="BO546" s="47"/>
      <c r="BP546" s="47"/>
      <c r="BQ546" s="47"/>
      <c r="BR546" s="47"/>
      <c r="BS546" s="47"/>
      <c r="BT546" s="47"/>
      <c r="BU546" s="47"/>
      <c r="BV546" s="47"/>
      <c r="BW546" s="47"/>
    </row>
    <row r="547" ht="21.0" customHeight="1">
      <c r="A547" s="43"/>
      <c r="B547" s="36" t="s">
        <v>500</v>
      </c>
      <c r="C547" s="26" t="str">
        <f>vlookup(B547,'재고 백업'!$A:$B,2,0)</f>
        <v>-</v>
      </c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  <c r="AG547" s="47"/>
      <c r="AH547" s="47"/>
      <c r="AI547" s="47"/>
      <c r="AJ547" s="47"/>
      <c r="AK547" s="47"/>
      <c r="AL547" s="47"/>
      <c r="AM547" s="47"/>
      <c r="AN547" s="47"/>
      <c r="AO547" s="47"/>
      <c r="AP547" s="47"/>
      <c r="AQ547" s="47"/>
      <c r="AR547" s="47"/>
      <c r="AS547" s="47"/>
      <c r="AT547" s="47"/>
      <c r="AU547" s="47"/>
      <c r="AV547" s="47"/>
      <c r="AW547" s="47"/>
      <c r="AX547" s="47"/>
      <c r="AY547" s="47"/>
      <c r="AZ547" s="47"/>
      <c r="BA547" s="47"/>
      <c r="BB547" s="47"/>
      <c r="BC547" s="47"/>
      <c r="BD547" s="47"/>
      <c r="BE547" s="47"/>
      <c r="BF547" s="47"/>
      <c r="BG547" s="47"/>
      <c r="BH547" s="47"/>
      <c r="BI547" s="47"/>
      <c r="BJ547" s="47"/>
      <c r="BK547" s="47"/>
      <c r="BL547" s="47"/>
      <c r="BM547" s="47"/>
      <c r="BN547" s="47"/>
      <c r="BO547" s="47"/>
      <c r="BP547" s="47"/>
      <c r="BQ547" s="47"/>
      <c r="BR547" s="47"/>
      <c r="BS547" s="47"/>
      <c r="BT547" s="47"/>
      <c r="BU547" s="47"/>
      <c r="BV547" s="47"/>
      <c r="BW547" s="47"/>
    </row>
    <row r="548" ht="21.0" customHeight="1">
      <c r="A548" s="43"/>
      <c r="B548" s="36" t="s">
        <v>501</v>
      </c>
      <c r="C548" s="21" t="str">
        <f>vlookup(B548,'재고 백업'!$A:$B,2,0)</f>
        <v>#N/A</v>
      </c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  <c r="AG548" s="47"/>
      <c r="AH548" s="47"/>
      <c r="AI548" s="47"/>
      <c r="AJ548" s="47"/>
      <c r="AK548" s="47"/>
      <c r="AL548" s="47"/>
      <c r="AM548" s="47"/>
      <c r="AN548" s="47"/>
      <c r="AO548" s="47"/>
      <c r="AP548" s="47"/>
      <c r="AQ548" s="47"/>
      <c r="AR548" s="47"/>
      <c r="AS548" s="47"/>
      <c r="AT548" s="47"/>
      <c r="AU548" s="47"/>
      <c r="AV548" s="47"/>
      <c r="AW548" s="47"/>
      <c r="AX548" s="47"/>
      <c r="AY548" s="47"/>
      <c r="AZ548" s="47"/>
      <c r="BA548" s="47"/>
      <c r="BB548" s="47"/>
      <c r="BC548" s="47"/>
      <c r="BD548" s="47"/>
      <c r="BE548" s="47"/>
      <c r="BF548" s="47"/>
      <c r="BG548" s="47"/>
      <c r="BH548" s="47"/>
      <c r="BI548" s="47"/>
      <c r="BJ548" s="47"/>
      <c r="BK548" s="47"/>
      <c r="BL548" s="47"/>
      <c r="BM548" s="47"/>
      <c r="BN548" s="47"/>
      <c r="BO548" s="47"/>
      <c r="BP548" s="47"/>
      <c r="BQ548" s="47"/>
      <c r="BR548" s="47"/>
      <c r="BS548" s="47"/>
      <c r="BT548" s="47"/>
      <c r="BU548" s="47"/>
      <c r="BV548" s="47"/>
      <c r="BW548" s="47"/>
    </row>
    <row r="549" ht="21.0" customHeight="1">
      <c r="A549" s="43"/>
      <c r="B549" s="36" t="s">
        <v>502</v>
      </c>
      <c r="C549" s="26" t="str">
        <f>vlookup(B549,'재고 백업'!$A:$B,2,0)</f>
        <v>-</v>
      </c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  <c r="AG549" s="47"/>
      <c r="AH549" s="47"/>
      <c r="AI549" s="47"/>
      <c r="AJ549" s="47"/>
      <c r="AK549" s="47"/>
      <c r="AL549" s="47"/>
      <c r="AM549" s="47"/>
      <c r="AN549" s="47"/>
      <c r="AO549" s="47"/>
      <c r="AP549" s="47"/>
      <c r="AQ549" s="47"/>
      <c r="AR549" s="47"/>
      <c r="AS549" s="47"/>
      <c r="AT549" s="47"/>
      <c r="AU549" s="47"/>
      <c r="AV549" s="47"/>
      <c r="AW549" s="47"/>
      <c r="AX549" s="47"/>
      <c r="AY549" s="47"/>
      <c r="AZ549" s="47"/>
      <c r="BA549" s="47"/>
      <c r="BB549" s="47"/>
      <c r="BC549" s="47"/>
      <c r="BD549" s="47"/>
      <c r="BE549" s="47"/>
      <c r="BF549" s="47"/>
      <c r="BG549" s="47"/>
      <c r="BH549" s="47"/>
      <c r="BI549" s="47"/>
      <c r="BJ549" s="47"/>
      <c r="BK549" s="47"/>
      <c r="BL549" s="47"/>
      <c r="BM549" s="47"/>
      <c r="BN549" s="47"/>
      <c r="BO549" s="47"/>
      <c r="BP549" s="47"/>
      <c r="BQ549" s="47"/>
      <c r="BR549" s="47"/>
      <c r="BS549" s="47"/>
      <c r="BT549" s="47"/>
      <c r="BU549" s="47"/>
      <c r="BV549" s="47"/>
      <c r="BW549" s="47"/>
    </row>
    <row r="550" ht="21.0" customHeight="1">
      <c r="A550" s="43"/>
      <c r="B550" s="36" t="s">
        <v>503</v>
      </c>
      <c r="C550" s="26" t="str">
        <f>vlookup(B550,'재고 백업'!$A:$B,2,0)</f>
        <v>-</v>
      </c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  <c r="AG550" s="47"/>
      <c r="AH550" s="47"/>
      <c r="AI550" s="47"/>
      <c r="AJ550" s="47"/>
      <c r="AK550" s="47"/>
      <c r="AL550" s="47"/>
      <c r="AM550" s="47"/>
      <c r="AN550" s="47"/>
      <c r="AO550" s="47"/>
      <c r="AP550" s="47"/>
      <c r="AQ550" s="47"/>
      <c r="AR550" s="47"/>
      <c r="AS550" s="47"/>
      <c r="AT550" s="47"/>
      <c r="AU550" s="47"/>
      <c r="AV550" s="47"/>
      <c r="AW550" s="47"/>
      <c r="AX550" s="47"/>
      <c r="AY550" s="47"/>
      <c r="AZ550" s="47"/>
      <c r="BA550" s="47"/>
      <c r="BB550" s="47"/>
      <c r="BC550" s="47"/>
      <c r="BD550" s="47"/>
      <c r="BE550" s="47"/>
      <c r="BF550" s="47"/>
      <c r="BG550" s="47"/>
      <c r="BH550" s="47"/>
      <c r="BI550" s="47"/>
      <c r="BJ550" s="47"/>
      <c r="BK550" s="47"/>
      <c r="BL550" s="47"/>
      <c r="BM550" s="47"/>
      <c r="BN550" s="47"/>
      <c r="BO550" s="47"/>
      <c r="BP550" s="47"/>
      <c r="BQ550" s="47"/>
      <c r="BR550" s="47"/>
      <c r="BS550" s="47"/>
      <c r="BT550" s="47"/>
      <c r="BU550" s="47"/>
      <c r="BV550" s="47"/>
      <c r="BW550" s="47"/>
    </row>
    <row r="551" ht="21.0" customHeight="1">
      <c r="A551" s="43"/>
      <c r="B551" s="33"/>
      <c r="C551" s="34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  <c r="AG551" s="47"/>
      <c r="AH551" s="47"/>
      <c r="AI551" s="47"/>
      <c r="AJ551" s="47"/>
      <c r="AK551" s="47"/>
      <c r="AL551" s="47"/>
      <c r="AM551" s="47"/>
      <c r="AN551" s="47"/>
      <c r="AO551" s="47"/>
      <c r="AP551" s="47"/>
      <c r="AQ551" s="47"/>
      <c r="AR551" s="47"/>
      <c r="AS551" s="47"/>
      <c r="AT551" s="47"/>
      <c r="AU551" s="47"/>
      <c r="AV551" s="47"/>
      <c r="AW551" s="47"/>
      <c r="AX551" s="47"/>
      <c r="AY551" s="47"/>
      <c r="AZ551" s="47"/>
      <c r="BA551" s="47"/>
      <c r="BB551" s="47"/>
      <c r="BC551" s="47"/>
      <c r="BD551" s="47"/>
      <c r="BE551" s="47"/>
      <c r="BF551" s="47"/>
      <c r="BG551" s="47"/>
      <c r="BH551" s="47"/>
      <c r="BI551" s="47"/>
      <c r="BJ551" s="47"/>
      <c r="BK551" s="47"/>
      <c r="BL551" s="47"/>
      <c r="BM551" s="47"/>
      <c r="BN551" s="47"/>
      <c r="BO551" s="47"/>
      <c r="BP551" s="47"/>
      <c r="BQ551" s="47"/>
      <c r="BR551" s="47"/>
      <c r="BS551" s="47"/>
      <c r="BT551" s="47"/>
      <c r="BU551" s="47"/>
      <c r="BV551" s="47"/>
      <c r="BW551" s="47"/>
    </row>
    <row r="552" ht="21.0" customHeight="1">
      <c r="A552" s="43"/>
      <c r="B552" s="48" t="s">
        <v>504</v>
      </c>
      <c r="C552" s="63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  <c r="AG552" s="47"/>
      <c r="AH552" s="47"/>
      <c r="AI552" s="47"/>
      <c r="AJ552" s="47"/>
      <c r="AK552" s="47"/>
      <c r="AL552" s="47"/>
      <c r="AM552" s="47"/>
      <c r="AN552" s="47"/>
      <c r="AO552" s="47"/>
      <c r="AP552" s="47"/>
      <c r="AQ552" s="47"/>
      <c r="AR552" s="47"/>
      <c r="AS552" s="47"/>
      <c r="AT552" s="47"/>
      <c r="AU552" s="47"/>
      <c r="AV552" s="47"/>
      <c r="AW552" s="47"/>
      <c r="AX552" s="47"/>
      <c r="AY552" s="47"/>
      <c r="AZ552" s="47"/>
      <c r="BA552" s="47"/>
      <c r="BB552" s="47"/>
      <c r="BC552" s="47"/>
      <c r="BD552" s="47"/>
      <c r="BE552" s="47"/>
      <c r="BF552" s="47"/>
      <c r="BG552" s="47"/>
      <c r="BH552" s="47"/>
      <c r="BI552" s="47"/>
      <c r="BJ552" s="47"/>
      <c r="BK552" s="47"/>
      <c r="BL552" s="47"/>
      <c r="BM552" s="47"/>
      <c r="BN552" s="47"/>
      <c r="BO552" s="47"/>
      <c r="BP552" s="47"/>
      <c r="BQ552" s="47"/>
      <c r="BR552" s="47"/>
      <c r="BS552" s="47"/>
      <c r="BT552" s="47"/>
      <c r="BU552" s="47"/>
      <c r="BV552" s="47"/>
      <c r="BW552" s="47"/>
    </row>
    <row r="553" ht="21.0" customHeight="1">
      <c r="A553" s="43"/>
      <c r="B553" s="36" t="s">
        <v>505</v>
      </c>
      <c r="C553" s="26">
        <f>vlookup(B553,'재고 백업'!$A:$B,2,0)</f>
        <v>30</v>
      </c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  <c r="AG553" s="47"/>
      <c r="AH553" s="47"/>
      <c r="AI553" s="47"/>
      <c r="AJ553" s="47"/>
      <c r="AK553" s="47"/>
      <c r="AL553" s="47"/>
      <c r="AM553" s="47"/>
      <c r="AN553" s="47"/>
      <c r="AO553" s="47"/>
      <c r="AP553" s="47"/>
      <c r="AQ553" s="47"/>
      <c r="AR553" s="47"/>
      <c r="AS553" s="47"/>
      <c r="AT553" s="47"/>
      <c r="AU553" s="47"/>
      <c r="AV553" s="47"/>
      <c r="AW553" s="47"/>
      <c r="AX553" s="47"/>
      <c r="AY553" s="47"/>
      <c r="AZ553" s="47"/>
      <c r="BA553" s="47"/>
      <c r="BB553" s="47"/>
      <c r="BC553" s="47"/>
      <c r="BD553" s="47"/>
      <c r="BE553" s="47"/>
      <c r="BF553" s="47"/>
      <c r="BG553" s="47"/>
      <c r="BH553" s="47"/>
      <c r="BI553" s="47"/>
      <c r="BJ553" s="47"/>
      <c r="BK553" s="47"/>
      <c r="BL553" s="47"/>
      <c r="BM553" s="47"/>
      <c r="BN553" s="47"/>
      <c r="BO553" s="47"/>
      <c r="BP553" s="47"/>
      <c r="BQ553" s="47"/>
      <c r="BR553" s="47"/>
      <c r="BS553" s="47"/>
      <c r="BT553" s="47"/>
      <c r="BU553" s="47"/>
      <c r="BV553" s="47"/>
      <c r="BW553" s="47"/>
    </row>
    <row r="554" ht="21.0" customHeight="1">
      <c r="A554" s="43"/>
      <c r="B554" s="36" t="s">
        <v>506</v>
      </c>
      <c r="C554" s="21" t="str">
        <f>vlookup(B554,'재고 백업'!$A:$B,2,0)</f>
        <v>#N/A</v>
      </c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  <c r="AG554" s="47"/>
      <c r="AH554" s="47"/>
      <c r="AI554" s="47"/>
      <c r="AJ554" s="47"/>
      <c r="AK554" s="47"/>
      <c r="AL554" s="47"/>
      <c r="AM554" s="47"/>
      <c r="AN554" s="47"/>
      <c r="AO554" s="47"/>
      <c r="AP554" s="47"/>
      <c r="AQ554" s="47"/>
      <c r="AR554" s="47"/>
      <c r="AS554" s="47"/>
      <c r="AT554" s="47"/>
      <c r="AU554" s="47"/>
      <c r="AV554" s="47"/>
      <c r="AW554" s="47"/>
      <c r="AX554" s="47"/>
      <c r="AY554" s="47"/>
      <c r="AZ554" s="47"/>
      <c r="BA554" s="47"/>
      <c r="BB554" s="47"/>
      <c r="BC554" s="47"/>
      <c r="BD554" s="47"/>
      <c r="BE554" s="47"/>
      <c r="BF554" s="47"/>
      <c r="BG554" s="47"/>
      <c r="BH554" s="47"/>
      <c r="BI554" s="47"/>
      <c r="BJ554" s="47"/>
      <c r="BK554" s="47"/>
      <c r="BL554" s="47"/>
      <c r="BM554" s="47"/>
      <c r="BN554" s="47"/>
      <c r="BO554" s="47"/>
      <c r="BP554" s="47"/>
      <c r="BQ554" s="47"/>
      <c r="BR554" s="47"/>
      <c r="BS554" s="47"/>
      <c r="BT554" s="47"/>
      <c r="BU554" s="47"/>
      <c r="BV554" s="47"/>
      <c r="BW554" s="47"/>
    </row>
    <row r="555" ht="21.0" customHeight="1">
      <c r="A555" s="43"/>
      <c r="B555" s="33"/>
      <c r="C555" s="34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  <c r="AG555" s="47"/>
      <c r="AH555" s="47"/>
      <c r="AI555" s="47"/>
      <c r="AJ555" s="47"/>
      <c r="AK555" s="47"/>
      <c r="AL555" s="47"/>
      <c r="AM555" s="47"/>
      <c r="AN555" s="47"/>
      <c r="AO555" s="47"/>
      <c r="AP555" s="47"/>
      <c r="AQ555" s="47"/>
      <c r="AR555" s="47"/>
      <c r="AS555" s="47"/>
      <c r="AT555" s="47"/>
      <c r="AU555" s="47"/>
      <c r="AV555" s="47"/>
      <c r="AW555" s="47"/>
      <c r="AX555" s="47"/>
      <c r="AY555" s="47"/>
      <c r="AZ555" s="47"/>
      <c r="BA555" s="47"/>
      <c r="BB555" s="47"/>
      <c r="BC555" s="47"/>
      <c r="BD555" s="47"/>
      <c r="BE555" s="47"/>
      <c r="BF555" s="47"/>
      <c r="BG555" s="47"/>
      <c r="BH555" s="47"/>
      <c r="BI555" s="47"/>
      <c r="BJ555" s="47"/>
      <c r="BK555" s="47"/>
      <c r="BL555" s="47"/>
      <c r="BM555" s="47"/>
      <c r="BN555" s="47"/>
      <c r="BO555" s="47"/>
      <c r="BP555" s="47"/>
      <c r="BQ555" s="47"/>
      <c r="BR555" s="47"/>
      <c r="BS555" s="47"/>
      <c r="BT555" s="47"/>
      <c r="BU555" s="47"/>
      <c r="BV555" s="47"/>
      <c r="BW555" s="47"/>
    </row>
    <row r="556" ht="21.0" customHeight="1">
      <c r="A556" s="43"/>
      <c r="B556" s="48" t="s">
        <v>507</v>
      </c>
      <c r="C556" s="63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  <c r="AG556" s="47"/>
      <c r="AH556" s="47"/>
      <c r="AI556" s="47"/>
      <c r="AJ556" s="47"/>
      <c r="AK556" s="47"/>
      <c r="AL556" s="47"/>
      <c r="AM556" s="47"/>
      <c r="AN556" s="47"/>
      <c r="AO556" s="47"/>
      <c r="AP556" s="47"/>
      <c r="AQ556" s="47"/>
      <c r="AR556" s="47"/>
      <c r="AS556" s="47"/>
      <c r="AT556" s="47"/>
      <c r="AU556" s="47"/>
      <c r="AV556" s="47"/>
      <c r="AW556" s="47"/>
      <c r="AX556" s="47"/>
      <c r="AY556" s="47"/>
      <c r="AZ556" s="47"/>
      <c r="BA556" s="47"/>
      <c r="BB556" s="47"/>
      <c r="BC556" s="47"/>
      <c r="BD556" s="47"/>
      <c r="BE556" s="47"/>
      <c r="BF556" s="47"/>
      <c r="BG556" s="47"/>
      <c r="BH556" s="47"/>
      <c r="BI556" s="47"/>
      <c r="BJ556" s="47"/>
      <c r="BK556" s="47"/>
      <c r="BL556" s="47"/>
      <c r="BM556" s="47"/>
      <c r="BN556" s="47"/>
      <c r="BO556" s="47"/>
      <c r="BP556" s="47"/>
      <c r="BQ556" s="47"/>
      <c r="BR556" s="47"/>
      <c r="BS556" s="47"/>
      <c r="BT556" s="47"/>
      <c r="BU556" s="47"/>
      <c r="BV556" s="47"/>
      <c r="BW556" s="47"/>
    </row>
    <row r="557" ht="21.0" customHeight="1">
      <c r="A557" s="43"/>
      <c r="B557" s="36" t="s">
        <v>508</v>
      </c>
      <c r="C557" s="26">
        <f>vlookup(B557,'재고 백업'!$A:$B,2,0)</f>
        <v>79</v>
      </c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  <c r="AG557" s="47"/>
      <c r="AH557" s="47"/>
      <c r="AI557" s="47"/>
      <c r="AJ557" s="47"/>
      <c r="AK557" s="47"/>
      <c r="AL557" s="47"/>
      <c r="AM557" s="47"/>
      <c r="AN557" s="47"/>
      <c r="AO557" s="47"/>
      <c r="AP557" s="47"/>
      <c r="AQ557" s="47"/>
      <c r="AR557" s="47"/>
      <c r="AS557" s="47"/>
      <c r="AT557" s="47"/>
      <c r="AU557" s="47"/>
      <c r="AV557" s="47"/>
      <c r="AW557" s="47"/>
      <c r="AX557" s="47"/>
      <c r="AY557" s="47"/>
      <c r="AZ557" s="47"/>
      <c r="BA557" s="47"/>
      <c r="BB557" s="47"/>
      <c r="BC557" s="47"/>
      <c r="BD557" s="47"/>
      <c r="BE557" s="47"/>
      <c r="BF557" s="47"/>
      <c r="BG557" s="47"/>
      <c r="BH557" s="47"/>
      <c r="BI557" s="47"/>
      <c r="BJ557" s="47"/>
      <c r="BK557" s="47"/>
      <c r="BL557" s="47"/>
      <c r="BM557" s="47"/>
      <c r="BN557" s="47"/>
      <c r="BO557" s="47"/>
      <c r="BP557" s="47"/>
      <c r="BQ557" s="47"/>
      <c r="BR557" s="47"/>
      <c r="BS557" s="47"/>
      <c r="BT557" s="47"/>
      <c r="BU557" s="47"/>
      <c r="BV557" s="47"/>
      <c r="BW557" s="47"/>
    </row>
    <row r="558" ht="21.0" customHeight="1">
      <c r="A558" s="43"/>
      <c r="B558" s="36" t="s">
        <v>509</v>
      </c>
      <c r="C558" s="26" t="str">
        <f>vlookup(B558,'재고 백업'!$A:$B,2,0)</f>
        <v>-</v>
      </c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  <c r="AG558" s="47"/>
      <c r="AH558" s="47"/>
      <c r="AI558" s="47"/>
      <c r="AJ558" s="47"/>
      <c r="AK558" s="47"/>
      <c r="AL558" s="47"/>
      <c r="AM558" s="47"/>
      <c r="AN558" s="47"/>
      <c r="AO558" s="47"/>
      <c r="AP558" s="47"/>
      <c r="AQ558" s="47"/>
      <c r="AR558" s="47"/>
      <c r="AS558" s="47"/>
      <c r="AT558" s="47"/>
      <c r="AU558" s="47"/>
      <c r="AV558" s="47"/>
      <c r="AW558" s="47"/>
      <c r="AX558" s="47"/>
      <c r="AY558" s="47"/>
      <c r="AZ558" s="47"/>
      <c r="BA558" s="47"/>
      <c r="BB558" s="47"/>
      <c r="BC558" s="47"/>
      <c r="BD558" s="47"/>
      <c r="BE558" s="47"/>
      <c r="BF558" s="47"/>
      <c r="BG558" s="47"/>
      <c r="BH558" s="47"/>
      <c r="BI558" s="47"/>
      <c r="BJ558" s="47"/>
      <c r="BK558" s="47"/>
      <c r="BL558" s="47"/>
      <c r="BM558" s="47"/>
      <c r="BN558" s="47"/>
      <c r="BO558" s="47"/>
      <c r="BP558" s="47"/>
      <c r="BQ558" s="47"/>
      <c r="BR558" s="47"/>
      <c r="BS558" s="47"/>
      <c r="BT558" s="47"/>
      <c r="BU558" s="47"/>
      <c r="BV558" s="47"/>
      <c r="BW558" s="47"/>
    </row>
    <row r="559" ht="21.0" customHeight="1">
      <c r="A559" s="43"/>
      <c r="B559" s="33"/>
      <c r="C559" s="34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  <c r="AG559" s="47"/>
      <c r="AH559" s="47"/>
      <c r="AI559" s="47"/>
      <c r="AJ559" s="47"/>
      <c r="AK559" s="47"/>
      <c r="AL559" s="47"/>
      <c r="AM559" s="47"/>
      <c r="AN559" s="47"/>
      <c r="AO559" s="47"/>
      <c r="AP559" s="47"/>
      <c r="AQ559" s="47"/>
      <c r="AR559" s="47"/>
      <c r="AS559" s="47"/>
      <c r="AT559" s="47"/>
      <c r="AU559" s="47"/>
      <c r="AV559" s="47"/>
      <c r="AW559" s="47"/>
      <c r="AX559" s="47"/>
      <c r="AY559" s="47"/>
      <c r="AZ559" s="47"/>
      <c r="BA559" s="47"/>
      <c r="BB559" s="47"/>
      <c r="BC559" s="47"/>
      <c r="BD559" s="47"/>
      <c r="BE559" s="47"/>
      <c r="BF559" s="47"/>
      <c r="BG559" s="47"/>
      <c r="BH559" s="47"/>
      <c r="BI559" s="47"/>
      <c r="BJ559" s="47"/>
      <c r="BK559" s="47"/>
      <c r="BL559" s="47"/>
      <c r="BM559" s="47"/>
      <c r="BN559" s="47"/>
      <c r="BO559" s="47"/>
      <c r="BP559" s="47"/>
      <c r="BQ559" s="47"/>
      <c r="BR559" s="47"/>
      <c r="BS559" s="47"/>
      <c r="BT559" s="47"/>
      <c r="BU559" s="47"/>
      <c r="BV559" s="47"/>
      <c r="BW559" s="47"/>
    </row>
    <row r="560" ht="21.0" customHeight="1">
      <c r="A560" s="43"/>
      <c r="B560" s="64" t="s">
        <v>510</v>
      </c>
      <c r="C560" s="64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  <c r="AG560" s="47"/>
      <c r="AH560" s="47"/>
      <c r="AI560" s="47"/>
      <c r="AJ560" s="47"/>
      <c r="AK560" s="47"/>
      <c r="AL560" s="47"/>
      <c r="AM560" s="47"/>
      <c r="AN560" s="47"/>
      <c r="AO560" s="47"/>
      <c r="AP560" s="47"/>
      <c r="AQ560" s="47"/>
      <c r="AR560" s="47"/>
      <c r="AS560" s="47"/>
      <c r="AT560" s="47"/>
      <c r="AU560" s="47"/>
      <c r="AV560" s="47"/>
      <c r="AW560" s="47"/>
      <c r="AX560" s="47"/>
      <c r="AY560" s="47"/>
      <c r="AZ560" s="47"/>
      <c r="BA560" s="47"/>
      <c r="BB560" s="47"/>
      <c r="BC560" s="47"/>
      <c r="BD560" s="47"/>
      <c r="BE560" s="47"/>
      <c r="BF560" s="47"/>
      <c r="BG560" s="47"/>
      <c r="BH560" s="47"/>
      <c r="BI560" s="47"/>
      <c r="BJ560" s="47"/>
      <c r="BK560" s="47"/>
      <c r="BL560" s="47"/>
      <c r="BM560" s="47"/>
      <c r="BN560" s="47"/>
      <c r="BO560" s="47"/>
      <c r="BP560" s="47"/>
      <c r="BQ560" s="47"/>
      <c r="BR560" s="47"/>
      <c r="BS560" s="47"/>
      <c r="BT560" s="47"/>
      <c r="BU560" s="47"/>
      <c r="BV560" s="47"/>
      <c r="BW560" s="47"/>
    </row>
    <row r="561" ht="21.0" customHeight="1">
      <c r="A561" s="43"/>
      <c r="B561" s="30" t="s">
        <v>511</v>
      </c>
      <c r="C561" s="26">
        <f>vlookup(B561,'재고 백업'!$A:$B,2,0)</f>
        <v>100</v>
      </c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  <c r="AG561" s="47"/>
      <c r="AH561" s="47"/>
      <c r="AI561" s="47"/>
      <c r="AJ561" s="47"/>
      <c r="AK561" s="47"/>
      <c r="AL561" s="47"/>
      <c r="AM561" s="47"/>
      <c r="AN561" s="47"/>
      <c r="AO561" s="47"/>
      <c r="AP561" s="47"/>
      <c r="AQ561" s="47"/>
      <c r="AR561" s="47"/>
      <c r="AS561" s="47"/>
      <c r="AT561" s="47"/>
      <c r="AU561" s="47"/>
      <c r="AV561" s="47"/>
      <c r="AW561" s="47"/>
      <c r="AX561" s="47"/>
      <c r="AY561" s="47"/>
      <c r="AZ561" s="47"/>
      <c r="BA561" s="47"/>
      <c r="BB561" s="47"/>
      <c r="BC561" s="47"/>
      <c r="BD561" s="47"/>
      <c r="BE561" s="47"/>
      <c r="BF561" s="47"/>
      <c r="BG561" s="47"/>
      <c r="BH561" s="47"/>
      <c r="BI561" s="47"/>
      <c r="BJ561" s="47"/>
      <c r="BK561" s="47"/>
      <c r="BL561" s="47"/>
      <c r="BM561" s="47"/>
      <c r="BN561" s="47"/>
      <c r="BO561" s="47"/>
      <c r="BP561" s="47"/>
      <c r="BQ561" s="47"/>
      <c r="BR561" s="47"/>
      <c r="BS561" s="47"/>
      <c r="BT561" s="47"/>
      <c r="BU561" s="47"/>
      <c r="BV561" s="47"/>
      <c r="BW561" s="47"/>
    </row>
    <row r="562" ht="21.0" customHeight="1">
      <c r="A562" s="43"/>
      <c r="B562" s="30" t="s">
        <v>512</v>
      </c>
      <c r="C562" s="26" t="str">
        <f>vlookup(B562,'재고 백업'!$A:$B,2,0)</f>
        <v>-</v>
      </c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  <c r="AG562" s="47"/>
      <c r="AH562" s="47"/>
      <c r="AI562" s="47"/>
      <c r="AJ562" s="47"/>
      <c r="AK562" s="47"/>
      <c r="AL562" s="47"/>
      <c r="AM562" s="47"/>
      <c r="AN562" s="47"/>
      <c r="AO562" s="47"/>
      <c r="AP562" s="47"/>
      <c r="AQ562" s="47"/>
      <c r="AR562" s="47"/>
      <c r="AS562" s="47"/>
      <c r="AT562" s="47"/>
      <c r="AU562" s="47"/>
      <c r="AV562" s="47"/>
      <c r="AW562" s="47"/>
      <c r="AX562" s="47"/>
      <c r="AY562" s="47"/>
      <c r="AZ562" s="47"/>
      <c r="BA562" s="47"/>
      <c r="BB562" s="47"/>
      <c r="BC562" s="47"/>
      <c r="BD562" s="47"/>
      <c r="BE562" s="47"/>
      <c r="BF562" s="47"/>
      <c r="BG562" s="47"/>
      <c r="BH562" s="47"/>
      <c r="BI562" s="47"/>
      <c r="BJ562" s="47"/>
      <c r="BK562" s="47"/>
      <c r="BL562" s="47"/>
      <c r="BM562" s="47"/>
      <c r="BN562" s="47"/>
      <c r="BO562" s="47"/>
      <c r="BP562" s="47"/>
      <c r="BQ562" s="47"/>
      <c r="BR562" s="47"/>
      <c r="BS562" s="47"/>
      <c r="BT562" s="47"/>
      <c r="BU562" s="47"/>
      <c r="BV562" s="47"/>
      <c r="BW562" s="47"/>
    </row>
    <row r="563" ht="21.0" customHeight="1">
      <c r="A563" s="43"/>
      <c r="B563" s="30" t="s">
        <v>513</v>
      </c>
      <c r="C563" s="26">
        <f>vlookup(B563,'재고 백업'!$A:$B,2,0)</f>
        <v>255</v>
      </c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  <c r="AG563" s="47"/>
      <c r="AH563" s="47"/>
      <c r="AI563" s="47"/>
      <c r="AJ563" s="47"/>
      <c r="AK563" s="47"/>
      <c r="AL563" s="47"/>
      <c r="AM563" s="47"/>
      <c r="AN563" s="47"/>
      <c r="AO563" s="47"/>
      <c r="AP563" s="47"/>
      <c r="AQ563" s="47"/>
      <c r="AR563" s="47"/>
      <c r="AS563" s="47"/>
      <c r="AT563" s="47"/>
      <c r="AU563" s="47"/>
      <c r="AV563" s="47"/>
      <c r="AW563" s="47"/>
      <c r="AX563" s="47"/>
      <c r="AY563" s="47"/>
      <c r="AZ563" s="47"/>
      <c r="BA563" s="47"/>
      <c r="BB563" s="47"/>
      <c r="BC563" s="47"/>
      <c r="BD563" s="47"/>
      <c r="BE563" s="47"/>
      <c r="BF563" s="47"/>
      <c r="BG563" s="47"/>
      <c r="BH563" s="47"/>
      <c r="BI563" s="47"/>
      <c r="BJ563" s="47"/>
      <c r="BK563" s="47"/>
      <c r="BL563" s="47"/>
      <c r="BM563" s="47"/>
      <c r="BN563" s="47"/>
      <c r="BO563" s="47"/>
      <c r="BP563" s="47"/>
      <c r="BQ563" s="47"/>
      <c r="BR563" s="47"/>
      <c r="BS563" s="47"/>
      <c r="BT563" s="47"/>
      <c r="BU563" s="47"/>
      <c r="BV563" s="47"/>
      <c r="BW563" s="47"/>
    </row>
    <row r="564" ht="21.0" customHeight="1">
      <c r="A564" s="43"/>
      <c r="B564" s="30" t="s">
        <v>514</v>
      </c>
      <c r="C564" s="26">
        <f>vlookup(B564,'재고 백업'!$A:$B,2,0)</f>
        <v>176</v>
      </c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  <c r="AG564" s="47"/>
      <c r="AH564" s="47"/>
      <c r="AI564" s="47"/>
      <c r="AJ564" s="47"/>
      <c r="AK564" s="47"/>
      <c r="AL564" s="47"/>
      <c r="AM564" s="47"/>
      <c r="AN564" s="47"/>
      <c r="AO564" s="47"/>
      <c r="AP564" s="47"/>
      <c r="AQ564" s="47"/>
      <c r="AR564" s="47"/>
      <c r="AS564" s="47"/>
      <c r="AT564" s="47"/>
      <c r="AU564" s="47"/>
      <c r="AV564" s="47"/>
      <c r="AW564" s="47"/>
      <c r="AX564" s="47"/>
      <c r="AY564" s="47"/>
      <c r="AZ564" s="47"/>
      <c r="BA564" s="47"/>
      <c r="BB564" s="47"/>
      <c r="BC564" s="47"/>
      <c r="BD564" s="47"/>
      <c r="BE564" s="47"/>
      <c r="BF564" s="47"/>
      <c r="BG564" s="47"/>
      <c r="BH564" s="47"/>
      <c r="BI564" s="47"/>
      <c r="BJ564" s="47"/>
      <c r="BK564" s="47"/>
      <c r="BL564" s="47"/>
      <c r="BM564" s="47"/>
      <c r="BN564" s="47"/>
      <c r="BO564" s="47"/>
      <c r="BP564" s="47"/>
      <c r="BQ564" s="47"/>
      <c r="BR564" s="47"/>
      <c r="BS564" s="47"/>
      <c r="BT564" s="47"/>
      <c r="BU564" s="47"/>
      <c r="BV564" s="47"/>
      <c r="BW564" s="47"/>
    </row>
    <row r="565" ht="21.0" customHeight="1">
      <c r="A565" s="43"/>
      <c r="B565" s="30" t="s">
        <v>515</v>
      </c>
      <c r="C565" s="26">
        <f>vlookup(B565,'재고 백업'!$A:$B,2,0)</f>
        <v>136</v>
      </c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  <c r="AG565" s="47"/>
      <c r="AH565" s="47"/>
      <c r="AI565" s="47"/>
      <c r="AJ565" s="47"/>
      <c r="AK565" s="47"/>
      <c r="AL565" s="47"/>
      <c r="AM565" s="47"/>
      <c r="AN565" s="47"/>
      <c r="AO565" s="47"/>
      <c r="AP565" s="47"/>
      <c r="AQ565" s="47"/>
      <c r="AR565" s="47"/>
      <c r="AS565" s="47"/>
      <c r="AT565" s="47"/>
      <c r="AU565" s="47"/>
      <c r="AV565" s="47"/>
      <c r="AW565" s="47"/>
      <c r="AX565" s="47"/>
      <c r="AY565" s="47"/>
      <c r="AZ565" s="47"/>
      <c r="BA565" s="47"/>
      <c r="BB565" s="47"/>
      <c r="BC565" s="47"/>
      <c r="BD565" s="47"/>
      <c r="BE565" s="47"/>
      <c r="BF565" s="47"/>
      <c r="BG565" s="47"/>
      <c r="BH565" s="47"/>
      <c r="BI565" s="47"/>
      <c r="BJ565" s="47"/>
      <c r="BK565" s="47"/>
      <c r="BL565" s="47"/>
      <c r="BM565" s="47"/>
      <c r="BN565" s="47"/>
      <c r="BO565" s="47"/>
      <c r="BP565" s="47"/>
      <c r="BQ565" s="47"/>
      <c r="BR565" s="47"/>
      <c r="BS565" s="47"/>
      <c r="BT565" s="47"/>
      <c r="BU565" s="47"/>
      <c r="BV565" s="47"/>
      <c r="BW565" s="47"/>
    </row>
    <row r="566" ht="21.0" customHeight="1">
      <c r="A566" s="43"/>
      <c r="B566" s="30" t="s">
        <v>516</v>
      </c>
      <c r="C566" s="26">
        <f>vlookup(B566,'재고 백업'!$A:$B,2,0)</f>
        <v>133</v>
      </c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  <c r="AG566" s="47"/>
      <c r="AH566" s="47"/>
      <c r="AI566" s="47"/>
      <c r="AJ566" s="47"/>
      <c r="AK566" s="47"/>
      <c r="AL566" s="47"/>
      <c r="AM566" s="47"/>
      <c r="AN566" s="47"/>
      <c r="AO566" s="47"/>
      <c r="AP566" s="47"/>
      <c r="AQ566" s="47"/>
      <c r="AR566" s="47"/>
      <c r="AS566" s="47"/>
      <c r="AT566" s="47"/>
      <c r="AU566" s="47"/>
      <c r="AV566" s="47"/>
      <c r="AW566" s="47"/>
      <c r="AX566" s="47"/>
      <c r="AY566" s="47"/>
      <c r="AZ566" s="47"/>
      <c r="BA566" s="47"/>
      <c r="BB566" s="47"/>
      <c r="BC566" s="47"/>
      <c r="BD566" s="47"/>
      <c r="BE566" s="47"/>
      <c r="BF566" s="47"/>
      <c r="BG566" s="47"/>
      <c r="BH566" s="47"/>
      <c r="BI566" s="47"/>
      <c r="BJ566" s="47"/>
      <c r="BK566" s="47"/>
      <c r="BL566" s="47"/>
      <c r="BM566" s="47"/>
      <c r="BN566" s="47"/>
      <c r="BO566" s="47"/>
      <c r="BP566" s="47"/>
      <c r="BQ566" s="47"/>
      <c r="BR566" s="47"/>
      <c r="BS566" s="47"/>
      <c r="BT566" s="47"/>
      <c r="BU566" s="47"/>
      <c r="BV566" s="47"/>
      <c r="BW566" s="47"/>
    </row>
    <row r="567" ht="21.0" customHeight="1">
      <c r="A567" s="43"/>
      <c r="B567" s="30" t="s">
        <v>517</v>
      </c>
      <c r="C567" s="26">
        <f>vlookup(B567,'재고 백업'!$A:$B,2,0)</f>
        <v>165</v>
      </c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  <c r="AG567" s="47"/>
      <c r="AH567" s="47"/>
      <c r="AI567" s="47"/>
      <c r="AJ567" s="47"/>
      <c r="AK567" s="47"/>
      <c r="AL567" s="47"/>
      <c r="AM567" s="47"/>
      <c r="AN567" s="47"/>
      <c r="AO567" s="47"/>
      <c r="AP567" s="47"/>
      <c r="AQ567" s="47"/>
      <c r="AR567" s="47"/>
      <c r="AS567" s="47"/>
      <c r="AT567" s="47"/>
      <c r="AU567" s="47"/>
      <c r="AV567" s="47"/>
      <c r="AW567" s="47"/>
      <c r="AX567" s="47"/>
      <c r="AY567" s="47"/>
      <c r="AZ567" s="47"/>
      <c r="BA567" s="47"/>
      <c r="BB567" s="47"/>
      <c r="BC567" s="47"/>
      <c r="BD567" s="47"/>
      <c r="BE567" s="47"/>
      <c r="BF567" s="47"/>
      <c r="BG567" s="47"/>
      <c r="BH567" s="47"/>
      <c r="BI567" s="47"/>
      <c r="BJ567" s="47"/>
      <c r="BK567" s="47"/>
      <c r="BL567" s="47"/>
      <c r="BM567" s="47"/>
      <c r="BN567" s="47"/>
      <c r="BO567" s="47"/>
      <c r="BP567" s="47"/>
      <c r="BQ567" s="47"/>
      <c r="BR567" s="47"/>
      <c r="BS567" s="47"/>
      <c r="BT567" s="47"/>
      <c r="BU567" s="47"/>
      <c r="BV567" s="47"/>
      <c r="BW567" s="47"/>
    </row>
    <row r="568" ht="21.0" customHeight="1">
      <c r="A568" s="43"/>
      <c r="B568" s="30" t="s">
        <v>518</v>
      </c>
      <c r="C568" s="26">
        <f>vlookup(B568,'재고 백업'!$A:$B,2,0)</f>
        <v>187</v>
      </c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  <c r="AG568" s="47"/>
      <c r="AH568" s="47"/>
      <c r="AI568" s="47"/>
      <c r="AJ568" s="47"/>
      <c r="AK568" s="47"/>
      <c r="AL568" s="47"/>
      <c r="AM568" s="47"/>
      <c r="AN568" s="47"/>
      <c r="AO568" s="47"/>
      <c r="AP568" s="47"/>
      <c r="AQ568" s="47"/>
      <c r="AR568" s="47"/>
      <c r="AS568" s="47"/>
      <c r="AT568" s="47"/>
      <c r="AU568" s="47"/>
      <c r="AV568" s="47"/>
      <c r="AW568" s="47"/>
      <c r="AX568" s="47"/>
      <c r="AY568" s="47"/>
      <c r="AZ568" s="47"/>
      <c r="BA568" s="47"/>
      <c r="BB568" s="47"/>
      <c r="BC568" s="47"/>
      <c r="BD568" s="47"/>
      <c r="BE568" s="47"/>
      <c r="BF568" s="47"/>
      <c r="BG568" s="47"/>
      <c r="BH568" s="47"/>
      <c r="BI568" s="47"/>
      <c r="BJ568" s="47"/>
      <c r="BK568" s="47"/>
      <c r="BL568" s="47"/>
      <c r="BM568" s="47"/>
      <c r="BN568" s="47"/>
      <c r="BO568" s="47"/>
      <c r="BP568" s="47"/>
      <c r="BQ568" s="47"/>
      <c r="BR568" s="47"/>
      <c r="BS568" s="47"/>
      <c r="BT568" s="47"/>
      <c r="BU568" s="47"/>
      <c r="BV568" s="47"/>
      <c r="BW568" s="47"/>
    </row>
    <row r="569" ht="21.0" customHeight="1">
      <c r="A569" s="43"/>
      <c r="B569" s="30" t="s">
        <v>519</v>
      </c>
      <c r="C569" s="26">
        <f>vlookup(B569,'재고 백업'!$A:$B,2,0)</f>
        <v>20</v>
      </c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  <c r="AG569" s="47"/>
      <c r="AH569" s="47"/>
      <c r="AI569" s="47"/>
      <c r="AJ569" s="47"/>
      <c r="AK569" s="47"/>
      <c r="AL569" s="47"/>
      <c r="AM569" s="47"/>
      <c r="AN569" s="47"/>
      <c r="AO569" s="47"/>
      <c r="AP569" s="47"/>
      <c r="AQ569" s="47"/>
      <c r="AR569" s="47"/>
      <c r="AS569" s="47"/>
      <c r="AT569" s="47"/>
      <c r="AU569" s="47"/>
      <c r="AV569" s="47"/>
      <c r="AW569" s="47"/>
      <c r="AX569" s="47"/>
      <c r="AY569" s="47"/>
      <c r="AZ569" s="47"/>
      <c r="BA569" s="47"/>
      <c r="BB569" s="47"/>
      <c r="BC569" s="47"/>
      <c r="BD569" s="47"/>
      <c r="BE569" s="47"/>
      <c r="BF569" s="47"/>
      <c r="BG569" s="47"/>
      <c r="BH569" s="47"/>
      <c r="BI569" s="47"/>
      <c r="BJ569" s="47"/>
      <c r="BK569" s="47"/>
      <c r="BL569" s="47"/>
      <c r="BM569" s="47"/>
      <c r="BN569" s="47"/>
      <c r="BO569" s="47"/>
      <c r="BP569" s="47"/>
      <c r="BQ569" s="47"/>
      <c r="BR569" s="47"/>
      <c r="BS569" s="47"/>
      <c r="BT569" s="47"/>
      <c r="BU569" s="47"/>
      <c r="BV569" s="47"/>
      <c r="BW569" s="47"/>
    </row>
    <row r="570" ht="21.0" customHeight="1">
      <c r="A570" s="43"/>
      <c r="B570" s="30" t="s">
        <v>520</v>
      </c>
      <c r="C570" s="26">
        <f>vlookup(B570,'재고 백업'!$A:$B,2,0)</f>
        <v>132</v>
      </c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  <c r="AG570" s="47"/>
      <c r="AH570" s="47"/>
      <c r="AI570" s="47"/>
      <c r="AJ570" s="47"/>
      <c r="AK570" s="47"/>
      <c r="AL570" s="47"/>
      <c r="AM570" s="47"/>
      <c r="AN570" s="47"/>
      <c r="AO570" s="47"/>
      <c r="AP570" s="47"/>
      <c r="AQ570" s="47"/>
      <c r="AR570" s="47"/>
      <c r="AS570" s="47"/>
      <c r="AT570" s="47"/>
      <c r="AU570" s="47"/>
      <c r="AV570" s="47"/>
      <c r="AW570" s="47"/>
      <c r="AX570" s="47"/>
      <c r="AY570" s="47"/>
      <c r="AZ570" s="47"/>
      <c r="BA570" s="47"/>
      <c r="BB570" s="47"/>
      <c r="BC570" s="47"/>
      <c r="BD570" s="47"/>
      <c r="BE570" s="47"/>
      <c r="BF570" s="47"/>
      <c r="BG570" s="47"/>
      <c r="BH570" s="47"/>
      <c r="BI570" s="47"/>
      <c r="BJ570" s="47"/>
      <c r="BK570" s="47"/>
      <c r="BL570" s="47"/>
      <c r="BM570" s="47"/>
      <c r="BN570" s="47"/>
      <c r="BO570" s="47"/>
      <c r="BP570" s="47"/>
      <c r="BQ570" s="47"/>
      <c r="BR570" s="47"/>
      <c r="BS570" s="47"/>
      <c r="BT570" s="47"/>
      <c r="BU570" s="47"/>
      <c r="BV570" s="47"/>
      <c r="BW570" s="47"/>
    </row>
    <row r="571" ht="21.0" customHeight="1">
      <c r="A571" s="43"/>
      <c r="B571" s="30" t="s">
        <v>521</v>
      </c>
      <c r="C571" s="26">
        <f>vlookup(B571,'재고 백업'!$A:$B,2,0)</f>
        <v>94</v>
      </c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  <c r="AG571" s="47"/>
      <c r="AH571" s="47"/>
      <c r="AI571" s="47"/>
      <c r="AJ571" s="47"/>
      <c r="AK571" s="47"/>
      <c r="AL571" s="47"/>
      <c r="AM571" s="47"/>
      <c r="AN571" s="47"/>
      <c r="AO571" s="47"/>
      <c r="AP571" s="47"/>
      <c r="AQ571" s="47"/>
      <c r="AR571" s="47"/>
      <c r="AS571" s="47"/>
      <c r="AT571" s="47"/>
      <c r="AU571" s="47"/>
      <c r="AV571" s="47"/>
      <c r="AW571" s="47"/>
      <c r="AX571" s="47"/>
      <c r="AY571" s="47"/>
      <c r="AZ571" s="47"/>
      <c r="BA571" s="47"/>
      <c r="BB571" s="47"/>
      <c r="BC571" s="47"/>
      <c r="BD571" s="47"/>
      <c r="BE571" s="47"/>
      <c r="BF571" s="47"/>
      <c r="BG571" s="47"/>
      <c r="BH571" s="47"/>
      <c r="BI571" s="47"/>
      <c r="BJ571" s="47"/>
      <c r="BK571" s="47"/>
      <c r="BL571" s="47"/>
      <c r="BM571" s="47"/>
      <c r="BN571" s="47"/>
      <c r="BO571" s="47"/>
      <c r="BP571" s="47"/>
      <c r="BQ571" s="47"/>
      <c r="BR571" s="47"/>
      <c r="BS571" s="47"/>
      <c r="BT571" s="47"/>
      <c r="BU571" s="47"/>
      <c r="BV571" s="47"/>
      <c r="BW571" s="47"/>
    </row>
    <row r="572" ht="21.0" customHeight="1">
      <c r="A572" s="43"/>
      <c r="B572" s="30" t="s">
        <v>522</v>
      </c>
      <c r="C572" s="26">
        <f>vlookup(B572,'재고 백업'!$A:$B,2,0)</f>
        <v>102</v>
      </c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  <c r="AG572" s="47"/>
      <c r="AH572" s="47"/>
      <c r="AI572" s="47"/>
      <c r="AJ572" s="47"/>
      <c r="AK572" s="47"/>
      <c r="AL572" s="47"/>
      <c r="AM572" s="47"/>
      <c r="AN572" s="47"/>
      <c r="AO572" s="47"/>
      <c r="AP572" s="47"/>
      <c r="AQ572" s="47"/>
      <c r="AR572" s="47"/>
      <c r="AS572" s="47"/>
      <c r="AT572" s="47"/>
      <c r="AU572" s="47"/>
      <c r="AV572" s="47"/>
      <c r="AW572" s="47"/>
      <c r="AX572" s="47"/>
      <c r="AY572" s="47"/>
      <c r="AZ572" s="47"/>
      <c r="BA572" s="47"/>
      <c r="BB572" s="47"/>
      <c r="BC572" s="47"/>
      <c r="BD572" s="47"/>
      <c r="BE572" s="47"/>
      <c r="BF572" s="47"/>
      <c r="BG572" s="47"/>
      <c r="BH572" s="47"/>
      <c r="BI572" s="47"/>
      <c r="BJ572" s="47"/>
      <c r="BK572" s="47"/>
      <c r="BL572" s="47"/>
      <c r="BM572" s="47"/>
      <c r="BN572" s="47"/>
      <c r="BO572" s="47"/>
      <c r="BP572" s="47"/>
      <c r="BQ572" s="47"/>
      <c r="BR572" s="47"/>
      <c r="BS572" s="47"/>
      <c r="BT572" s="47"/>
      <c r="BU572" s="47"/>
      <c r="BV572" s="47"/>
      <c r="BW572" s="47"/>
    </row>
    <row r="573" ht="21.0" customHeight="1">
      <c r="A573" s="43"/>
      <c r="B573" s="30" t="s">
        <v>523</v>
      </c>
      <c r="C573" s="26">
        <f>vlookup(B573,'재고 백업'!$A:$B,2,0)</f>
        <v>57</v>
      </c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  <c r="AG573" s="47"/>
      <c r="AH573" s="47"/>
      <c r="AI573" s="47"/>
      <c r="AJ573" s="47"/>
      <c r="AK573" s="47"/>
      <c r="AL573" s="47"/>
      <c r="AM573" s="47"/>
      <c r="AN573" s="47"/>
      <c r="AO573" s="47"/>
      <c r="AP573" s="47"/>
      <c r="AQ573" s="47"/>
      <c r="AR573" s="47"/>
      <c r="AS573" s="47"/>
      <c r="AT573" s="47"/>
      <c r="AU573" s="47"/>
      <c r="AV573" s="47"/>
      <c r="AW573" s="47"/>
      <c r="AX573" s="47"/>
      <c r="AY573" s="47"/>
      <c r="AZ573" s="47"/>
      <c r="BA573" s="47"/>
      <c r="BB573" s="47"/>
      <c r="BC573" s="47"/>
      <c r="BD573" s="47"/>
      <c r="BE573" s="47"/>
      <c r="BF573" s="47"/>
      <c r="BG573" s="47"/>
      <c r="BH573" s="47"/>
      <c r="BI573" s="47"/>
      <c r="BJ573" s="47"/>
      <c r="BK573" s="47"/>
      <c r="BL573" s="47"/>
      <c r="BM573" s="47"/>
      <c r="BN573" s="47"/>
      <c r="BO573" s="47"/>
      <c r="BP573" s="47"/>
      <c r="BQ573" s="47"/>
      <c r="BR573" s="47"/>
      <c r="BS573" s="47"/>
      <c r="BT573" s="47"/>
      <c r="BU573" s="47"/>
      <c r="BV573" s="47"/>
      <c r="BW573" s="47"/>
    </row>
    <row r="574" ht="21.0" customHeight="1">
      <c r="A574" s="43"/>
      <c r="B574" s="30" t="s">
        <v>524</v>
      </c>
      <c r="C574" s="26">
        <f>vlookup(B574,'재고 백업'!$A:$B,2,0)</f>
        <v>35</v>
      </c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  <c r="AG574" s="47"/>
      <c r="AH574" s="47"/>
      <c r="AI574" s="47"/>
      <c r="AJ574" s="47"/>
      <c r="AK574" s="47"/>
      <c r="AL574" s="47"/>
      <c r="AM574" s="47"/>
      <c r="AN574" s="47"/>
      <c r="AO574" s="47"/>
      <c r="AP574" s="47"/>
      <c r="AQ574" s="47"/>
      <c r="AR574" s="47"/>
      <c r="AS574" s="47"/>
      <c r="AT574" s="47"/>
      <c r="AU574" s="47"/>
      <c r="AV574" s="47"/>
      <c r="AW574" s="47"/>
      <c r="AX574" s="47"/>
      <c r="AY574" s="47"/>
      <c r="AZ574" s="47"/>
      <c r="BA574" s="47"/>
      <c r="BB574" s="47"/>
      <c r="BC574" s="47"/>
      <c r="BD574" s="47"/>
      <c r="BE574" s="47"/>
      <c r="BF574" s="47"/>
      <c r="BG574" s="47"/>
      <c r="BH574" s="47"/>
      <c r="BI574" s="47"/>
      <c r="BJ574" s="47"/>
      <c r="BK574" s="47"/>
      <c r="BL574" s="47"/>
      <c r="BM574" s="47"/>
      <c r="BN574" s="47"/>
      <c r="BO574" s="47"/>
      <c r="BP574" s="47"/>
      <c r="BQ574" s="47"/>
      <c r="BR574" s="47"/>
      <c r="BS574" s="47"/>
      <c r="BT574" s="47"/>
      <c r="BU574" s="47"/>
      <c r="BV574" s="47"/>
      <c r="BW574" s="47"/>
    </row>
    <row r="575" ht="21.0" customHeight="1">
      <c r="A575" s="43"/>
      <c r="B575" s="30" t="s">
        <v>525</v>
      </c>
      <c r="C575" s="26">
        <f>vlookup(B575,'재고 백업'!$A:$B,2,0)</f>
        <v>8</v>
      </c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  <c r="AG575" s="47"/>
      <c r="AH575" s="47"/>
      <c r="AI575" s="47"/>
      <c r="AJ575" s="47"/>
      <c r="AK575" s="47"/>
      <c r="AL575" s="47"/>
      <c r="AM575" s="47"/>
      <c r="AN575" s="47"/>
      <c r="AO575" s="47"/>
      <c r="AP575" s="47"/>
      <c r="AQ575" s="47"/>
      <c r="AR575" s="47"/>
      <c r="AS575" s="47"/>
      <c r="AT575" s="47"/>
      <c r="AU575" s="47"/>
      <c r="AV575" s="47"/>
      <c r="AW575" s="47"/>
      <c r="AX575" s="47"/>
      <c r="AY575" s="47"/>
      <c r="AZ575" s="47"/>
      <c r="BA575" s="47"/>
      <c r="BB575" s="47"/>
      <c r="BC575" s="47"/>
      <c r="BD575" s="47"/>
      <c r="BE575" s="47"/>
      <c r="BF575" s="47"/>
      <c r="BG575" s="47"/>
      <c r="BH575" s="47"/>
      <c r="BI575" s="47"/>
      <c r="BJ575" s="47"/>
      <c r="BK575" s="47"/>
      <c r="BL575" s="47"/>
      <c r="BM575" s="47"/>
      <c r="BN575" s="47"/>
      <c r="BO575" s="47"/>
      <c r="BP575" s="47"/>
      <c r="BQ575" s="47"/>
      <c r="BR575" s="47"/>
      <c r="BS575" s="47"/>
      <c r="BT575" s="47"/>
      <c r="BU575" s="47"/>
      <c r="BV575" s="47"/>
      <c r="BW575" s="47"/>
    </row>
    <row r="576" ht="21.0" customHeight="1">
      <c r="A576" s="43"/>
      <c r="B576" s="30" t="s">
        <v>526</v>
      </c>
      <c r="C576" s="26">
        <f>vlookup(B576,'재고 백업'!$A:$B,2,0)</f>
        <v>87</v>
      </c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  <c r="AG576" s="47"/>
      <c r="AH576" s="47"/>
      <c r="AI576" s="47"/>
      <c r="AJ576" s="47"/>
      <c r="AK576" s="47"/>
      <c r="AL576" s="47"/>
      <c r="AM576" s="47"/>
      <c r="AN576" s="47"/>
      <c r="AO576" s="47"/>
      <c r="AP576" s="47"/>
      <c r="AQ576" s="47"/>
      <c r="AR576" s="47"/>
      <c r="AS576" s="47"/>
      <c r="AT576" s="47"/>
      <c r="AU576" s="47"/>
      <c r="AV576" s="47"/>
      <c r="AW576" s="47"/>
      <c r="AX576" s="47"/>
      <c r="AY576" s="47"/>
      <c r="AZ576" s="47"/>
      <c r="BA576" s="47"/>
      <c r="BB576" s="47"/>
      <c r="BC576" s="47"/>
      <c r="BD576" s="47"/>
      <c r="BE576" s="47"/>
      <c r="BF576" s="47"/>
      <c r="BG576" s="47"/>
      <c r="BH576" s="47"/>
      <c r="BI576" s="47"/>
      <c r="BJ576" s="47"/>
      <c r="BK576" s="47"/>
      <c r="BL576" s="47"/>
      <c r="BM576" s="47"/>
      <c r="BN576" s="47"/>
      <c r="BO576" s="47"/>
      <c r="BP576" s="47"/>
      <c r="BQ576" s="47"/>
      <c r="BR576" s="47"/>
      <c r="BS576" s="47"/>
      <c r="BT576" s="47"/>
      <c r="BU576" s="47"/>
      <c r="BV576" s="47"/>
      <c r="BW576" s="47"/>
    </row>
    <row r="577" ht="21.0" customHeight="1">
      <c r="A577" s="43"/>
      <c r="B577" s="30" t="s">
        <v>527</v>
      </c>
      <c r="C577" s="26">
        <f>vlookup(B577,'재고 백업'!$A:$B,2,0)</f>
        <v>126</v>
      </c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  <c r="AG577" s="47"/>
      <c r="AH577" s="47"/>
      <c r="AI577" s="47"/>
      <c r="AJ577" s="47"/>
      <c r="AK577" s="47"/>
      <c r="AL577" s="47"/>
      <c r="AM577" s="47"/>
      <c r="AN577" s="47"/>
      <c r="AO577" s="47"/>
      <c r="AP577" s="47"/>
      <c r="AQ577" s="47"/>
      <c r="AR577" s="47"/>
      <c r="AS577" s="47"/>
      <c r="AT577" s="47"/>
      <c r="AU577" s="47"/>
      <c r="AV577" s="47"/>
      <c r="AW577" s="47"/>
      <c r="AX577" s="47"/>
      <c r="AY577" s="47"/>
      <c r="AZ577" s="47"/>
      <c r="BA577" s="47"/>
      <c r="BB577" s="47"/>
      <c r="BC577" s="47"/>
      <c r="BD577" s="47"/>
      <c r="BE577" s="47"/>
      <c r="BF577" s="47"/>
      <c r="BG577" s="47"/>
      <c r="BH577" s="47"/>
      <c r="BI577" s="47"/>
      <c r="BJ577" s="47"/>
      <c r="BK577" s="47"/>
      <c r="BL577" s="47"/>
      <c r="BM577" s="47"/>
      <c r="BN577" s="47"/>
      <c r="BO577" s="47"/>
      <c r="BP577" s="47"/>
      <c r="BQ577" s="47"/>
      <c r="BR577" s="47"/>
      <c r="BS577" s="47"/>
      <c r="BT577" s="47"/>
      <c r="BU577" s="47"/>
      <c r="BV577" s="47"/>
      <c r="BW577" s="47"/>
    </row>
    <row r="578" ht="21.0" customHeight="1">
      <c r="A578" s="43"/>
      <c r="B578" s="30" t="s">
        <v>528</v>
      </c>
      <c r="C578" s="26" t="str">
        <f>vlookup(B578,'재고 백업'!$A:$B,2,0)</f>
        <v>-</v>
      </c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  <c r="AG578" s="47"/>
      <c r="AH578" s="47"/>
      <c r="AI578" s="47"/>
      <c r="AJ578" s="47"/>
      <c r="AK578" s="47"/>
      <c r="AL578" s="47"/>
      <c r="AM578" s="47"/>
      <c r="AN578" s="47"/>
      <c r="AO578" s="47"/>
      <c r="AP578" s="47"/>
      <c r="AQ578" s="47"/>
      <c r="AR578" s="47"/>
      <c r="AS578" s="47"/>
      <c r="AT578" s="47"/>
      <c r="AU578" s="47"/>
      <c r="AV578" s="47"/>
      <c r="AW578" s="47"/>
      <c r="AX578" s="47"/>
      <c r="AY578" s="47"/>
      <c r="AZ578" s="47"/>
      <c r="BA578" s="47"/>
      <c r="BB578" s="47"/>
      <c r="BC578" s="47"/>
      <c r="BD578" s="47"/>
      <c r="BE578" s="47"/>
      <c r="BF578" s="47"/>
      <c r="BG578" s="47"/>
      <c r="BH578" s="47"/>
      <c r="BI578" s="47"/>
      <c r="BJ578" s="47"/>
      <c r="BK578" s="47"/>
      <c r="BL578" s="47"/>
      <c r="BM578" s="47"/>
      <c r="BN578" s="47"/>
      <c r="BO578" s="47"/>
      <c r="BP578" s="47"/>
      <c r="BQ578" s="47"/>
      <c r="BR578" s="47"/>
      <c r="BS578" s="47"/>
      <c r="BT578" s="47"/>
      <c r="BU578" s="47"/>
      <c r="BV578" s="47"/>
      <c r="BW578" s="47"/>
    </row>
    <row r="579" ht="21.0" customHeight="1">
      <c r="A579" s="43"/>
      <c r="B579" s="30" t="s">
        <v>529</v>
      </c>
      <c r="C579" s="26">
        <f>vlookup(B579,'재고 백업'!$A:$B,2,0)</f>
        <v>72</v>
      </c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  <c r="AG579" s="47"/>
      <c r="AH579" s="47"/>
      <c r="AI579" s="47"/>
      <c r="AJ579" s="47"/>
      <c r="AK579" s="47"/>
      <c r="AL579" s="47"/>
      <c r="AM579" s="47"/>
      <c r="AN579" s="47"/>
      <c r="AO579" s="47"/>
      <c r="AP579" s="47"/>
      <c r="AQ579" s="47"/>
      <c r="AR579" s="47"/>
      <c r="AS579" s="47"/>
      <c r="AT579" s="47"/>
      <c r="AU579" s="47"/>
      <c r="AV579" s="47"/>
      <c r="AW579" s="47"/>
      <c r="AX579" s="47"/>
      <c r="AY579" s="47"/>
      <c r="AZ579" s="47"/>
      <c r="BA579" s="47"/>
      <c r="BB579" s="47"/>
      <c r="BC579" s="47"/>
      <c r="BD579" s="47"/>
      <c r="BE579" s="47"/>
      <c r="BF579" s="47"/>
      <c r="BG579" s="47"/>
      <c r="BH579" s="47"/>
      <c r="BI579" s="47"/>
      <c r="BJ579" s="47"/>
      <c r="BK579" s="47"/>
      <c r="BL579" s="47"/>
      <c r="BM579" s="47"/>
      <c r="BN579" s="47"/>
      <c r="BO579" s="47"/>
      <c r="BP579" s="47"/>
      <c r="BQ579" s="47"/>
      <c r="BR579" s="47"/>
      <c r="BS579" s="47"/>
      <c r="BT579" s="47"/>
      <c r="BU579" s="47"/>
      <c r="BV579" s="47"/>
      <c r="BW579" s="47"/>
    </row>
    <row r="580" ht="21.0" customHeight="1">
      <c r="A580" s="43"/>
      <c r="B580" s="30" t="s">
        <v>530</v>
      </c>
      <c r="C580" s="26">
        <f>vlookup(B580,'재고 백업'!$A:$B,2,0)</f>
        <v>98</v>
      </c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  <c r="AG580" s="47"/>
      <c r="AH580" s="47"/>
      <c r="AI580" s="47"/>
      <c r="AJ580" s="47"/>
      <c r="AK580" s="47"/>
      <c r="AL580" s="47"/>
      <c r="AM580" s="47"/>
      <c r="AN580" s="47"/>
      <c r="AO580" s="47"/>
      <c r="AP580" s="47"/>
      <c r="AQ580" s="47"/>
      <c r="AR580" s="47"/>
      <c r="AS580" s="47"/>
      <c r="AT580" s="47"/>
      <c r="AU580" s="47"/>
      <c r="AV580" s="47"/>
      <c r="AW580" s="47"/>
      <c r="AX580" s="47"/>
      <c r="AY580" s="47"/>
      <c r="AZ580" s="47"/>
      <c r="BA580" s="47"/>
      <c r="BB580" s="47"/>
      <c r="BC580" s="47"/>
      <c r="BD580" s="47"/>
      <c r="BE580" s="47"/>
      <c r="BF580" s="47"/>
      <c r="BG580" s="47"/>
      <c r="BH580" s="47"/>
      <c r="BI580" s="47"/>
      <c r="BJ580" s="47"/>
      <c r="BK580" s="47"/>
      <c r="BL580" s="47"/>
      <c r="BM580" s="47"/>
      <c r="BN580" s="47"/>
      <c r="BO580" s="47"/>
      <c r="BP580" s="47"/>
      <c r="BQ580" s="47"/>
      <c r="BR580" s="47"/>
      <c r="BS580" s="47"/>
      <c r="BT580" s="47"/>
      <c r="BU580" s="47"/>
      <c r="BV580" s="47"/>
      <c r="BW580" s="47"/>
    </row>
    <row r="581" ht="21.0" customHeight="1">
      <c r="A581" s="43"/>
      <c r="B581" s="30" t="s">
        <v>531</v>
      </c>
      <c r="C581" s="26">
        <f>vlookup(B581,'재고 백업'!$A:$B,2,0)</f>
        <v>60</v>
      </c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  <c r="AG581" s="47"/>
      <c r="AH581" s="47"/>
      <c r="AI581" s="47"/>
      <c r="AJ581" s="47"/>
      <c r="AK581" s="47"/>
      <c r="AL581" s="47"/>
      <c r="AM581" s="47"/>
      <c r="AN581" s="47"/>
      <c r="AO581" s="47"/>
      <c r="AP581" s="47"/>
      <c r="AQ581" s="47"/>
      <c r="AR581" s="47"/>
      <c r="AS581" s="47"/>
      <c r="AT581" s="47"/>
      <c r="AU581" s="47"/>
      <c r="AV581" s="47"/>
      <c r="AW581" s="47"/>
      <c r="AX581" s="47"/>
      <c r="AY581" s="47"/>
      <c r="AZ581" s="47"/>
      <c r="BA581" s="47"/>
      <c r="BB581" s="47"/>
      <c r="BC581" s="47"/>
      <c r="BD581" s="47"/>
      <c r="BE581" s="47"/>
      <c r="BF581" s="47"/>
      <c r="BG581" s="47"/>
      <c r="BH581" s="47"/>
      <c r="BI581" s="47"/>
      <c r="BJ581" s="47"/>
      <c r="BK581" s="47"/>
      <c r="BL581" s="47"/>
      <c r="BM581" s="47"/>
      <c r="BN581" s="47"/>
      <c r="BO581" s="47"/>
      <c r="BP581" s="47"/>
      <c r="BQ581" s="47"/>
      <c r="BR581" s="47"/>
      <c r="BS581" s="47"/>
      <c r="BT581" s="47"/>
      <c r="BU581" s="47"/>
      <c r="BV581" s="47"/>
      <c r="BW581" s="47"/>
    </row>
    <row r="582" ht="21.0" customHeight="1">
      <c r="A582" s="43"/>
      <c r="B582" s="30" t="s">
        <v>532</v>
      </c>
      <c r="C582" s="26" t="str">
        <f>vlookup(B582,'재고 백업'!$A:$B,2,0)</f>
        <v>-</v>
      </c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  <c r="AG582" s="47"/>
      <c r="AH582" s="47"/>
      <c r="AI582" s="47"/>
      <c r="AJ582" s="47"/>
      <c r="AK582" s="47"/>
      <c r="AL582" s="47"/>
      <c r="AM582" s="47"/>
      <c r="AN582" s="47"/>
      <c r="AO582" s="47"/>
      <c r="AP582" s="47"/>
      <c r="AQ582" s="47"/>
      <c r="AR582" s="47"/>
      <c r="AS582" s="47"/>
      <c r="AT582" s="47"/>
      <c r="AU582" s="47"/>
      <c r="AV582" s="47"/>
      <c r="AW582" s="47"/>
      <c r="AX582" s="47"/>
      <c r="AY582" s="47"/>
      <c r="AZ582" s="47"/>
      <c r="BA582" s="47"/>
      <c r="BB582" s="47"/>
      <c r="BC582" s="47"/>
      <c r="BD582" s="47"/>
      <c r="BE582" s="47"/>
      <c r="BF582" s="47"/>
      <c r="BG582" s="47"/>
      <c r="BH582" s="47"/>
      <c r="BI582" s="47"/>
      <c r="BJ582" s="47"/>
      <c r="BK582" s="47"/>
      <c r="BL582" s="47"/>
      <c r="BM582" s="47"/>
      <c r="BN582" s="47"/>
      <c r="BO582" s="47"/>
      <c r="BP582" s="47"/>
      <c r="BQ582" s="47"/>
      <c r="BR582" s="47"/>
      <c r="BS582" s="47"/>
      <c r="BT582" s="47"/>
      <c r="BU582" s="47"/>
      <c r="BV582" s="47"/>
      <c r="BW582" s="47"/>
    </row>
    <row r="583" ht="21.0" customHeight="1">
      <c r="A583" s="43"/>
      <c r="B583" s="30" t="s">
        <v>533</v>
      </c>
      <c r="C583" s="26" t="str">
        <f>vlookup(B583,'재고 백업'!$A:$B,2,0)</f>
        <v>-</v>
      </c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  <c r="AG583" s="47"/>
      <c r="AH583" s="47"/>
      <c r="AI583" s="47"/>
      <c r="AJ583" s="47"/>
      <c r="AK583" s="47"/>
      <c r="AL583" s="47"/>
      <c r="AM583" s="47"/>
      <c r="AN583" s="47"/>
      <c r="AO583" s="47"/>
      <c r="AP583" s="47"/>
      <c r="AQ583" s="47"/>
      <c r="AR583" s="47"/>
      <c r="AS583" s="47"/>
      <c r="AT583" s="47"/>
      <c r="AU583" s="47"/>
      <c r="AV583" s="47"/>
      <c r="AW583" s="47"/>
      <c r="AX583" s="47"/>
      <c r="AY583" s="47"/>
      <c r="AZ583" s="47"/>
      <c r="BA583" s="47"/>
      <c r="BB583" s="47"/>
      <c r="BC583" s="47"/>
      <c r="BD583" s="47"/>
      <c r="BE583" s="47"/>
      <c r="BF583" s="47"/>
      <c r="BG583" s="47"/>
      <c r="BH583" s="47"/>
      <c r="BI583" s="47"/>
      <c r="BJ583" s="47"/>
      <c r="BK583" s="47"/>
      <c r="BL583" s="47"/>
      <c r="BM583" s="47"/>
      <c r="BN583" s="47"/>
      <c r="BO583" s="47"/>
      <c r="BP583" s="47"/>
      <c r="BQ583" s="47"/>
      <c r="BR583" s="47"/>
      <c r="BS583" s="47"/>
      <c r="BT583" s="47"/>
      <c r="BU583" s="47"/>
      <c r="BV583" s="47"/>
      <c r="BW583" s="47"/>
    </row>
    <row r="584" ht="21.0" customHeight="1">
      <c r="A584" s="43"/>
      <c r="B584" s="30" t="s">
        <v>534</v>
      </c>
      <c r="C584" s="26">
        <f>vlookup(B584,'재고 백업'!$A:$B,2,0)</f>
        <v>25</v>
      </c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  <c r="AG584" s="47"/>
      <c r="AH584" s="47"/>
      <c r="AI584" s="47"/>
      <c r="AJ584" s="47"/>
      <c r="AK584" s="47"/>
      <c r="AL584" s="47"/>
      <c r="AM584" s="47"/>
      <c r="AN584" s="47"/>
      <c r="AO584" s="47"/>
      <c r="AP584" s="47"/>
      <c r="AQ584" s="47"/>
      <c r="AR584" s="47"/>
      <c r="AS584" s="47"/>
      <c r="AT584" s="47"/>
      <c r="AU584" s="47"/>
      <c r="AV584" s="47"/>
      <c r="AW584" s="47"/>
      <c r="AX584" s="47"/>
      <c r="AY584" s="47"/>
      <c r="AZ584" s="47"/>
      <c r="BA584" s="47"/>
      <c r="BB584" s="47"/>
      <c r="BC584" s="47"/>
      <c r="BD584" s="47"/>
      <c r="BE584" s="47"/>
      <c r="BF584" s="47"/>
      <c r="BG584" s="47"/>
      <c r="BH584" s="47"/>
      <c r="BI584" s="47"/>
      <c r="BJ584" s="47"/>
      <c r="BK584" s="47"/>
      <c r="BL584" s="47"/>
      <c r="BM584" s="47"/>
      <c r="BN584" s="47"/>
      <c r="BO584" s="47"/>
      <c r="BP584" s="47"/>
      <c r="BQ584" s="47"/>
      <c r="BR584" s="47"/>
      <c r="BS584" s="47"/>
      <c r="BT584" s="47"/>
      <c r="BU584" s="47"/>
      <c r="BV584" s="47"/>
      <c r="BW584" s="47"/>
    </row>
    <row r="585" ht="21.0" customHeight="1">
      <c r="A585" s="43"/>
      <c r="B585" s="30" t="s">
        <v>535</v>
      </c>
      <c r="C585" s="26">
        <f>vlookup(B585,'재고 백업'!$A:$B,2,0)</f>
        <v>32</v>
      </c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  <c r="AG585" s="47"/>
      <c r="AH585" s="47"/>
      <c r="AI585" s="47"/>
      <c r="AJ585" s="47"/>
      <c r="AK585" s="47"/>
      <c r="AL585" s="47"/>
      <c r="AM585" s="47"/>
      <c r="AN585" s="47"/>
      <c r="AO585" s="47"/>
      <c r="AP585" s="47"/>
      <c r="AQ585" s="47"/>
      <c r="AR585" s="47"/>
      <c r="AS585" s="47"/>
      <c r="AT585" s="47"/>
      <c r="AU585" s="47"/>
      <c r="AV585" s="47"/>
      <c r="AW585" s="47"/>
      <c r="AX585" s="47"/>
      <c r="AY585" s="47"/>
      <c r="AZ585" s="47"/>
      <c r="BA585" s="47"/>
      <c r="BB585" s="47"/>
      <c r="BC585" s="47"/>
      <c r="BD585" s="47"/>
      <c r="BE585" s="47"/>
      <c r="BF585" s="47"/>
      <c r="BG585" s="47"/>
      <c r="BH585" s="47"/>
      <c r="BI585" s="47"/>
      <c r="BJ585" s="47"/>
      <c r="BK585" s="47"/>
      <c r="BL585" s="47"/>
      <c r="BM585" s="47"/>
      <c r="BN585" s="47"/>
      <c r="BO585" s="47"/>
      <c r="BP585" s="47"/>
      <c r="BQ585" s="47"/>
      <c r="BR585" s="47"/>
      <c r="BS585" s="47"/>
      <c r="BT585" s="47"/>
      <c r="BU585" s="47"/>
      <c r="BV585" s="47"/>
      <c r="BW585" s="47"/>
    </row>
    <row r="586" ht="21.0" customHeight="1">
      <c r="A586" s="43"/>
      <c r="B586" s="30" t="s">
        <v>536</v>
      </c>
      <c r="C586" s="26">
        <f>vlookup(B586,'재고 백업'!$A:$B,2,0)</f>
        <v>47</v>
      </c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  <c r="AG586" s="47"/>
      <c r="AH586" s="47"/>
      <c r="AI586" s="47"/>
      <c r="AJ586" s="47"/>
      <c r="AK586" s="47"/>
      <c r="AL586" s="47"/>
      <c r="AM586" s="47"/>
      <c r="AN586" s="47"/>
      <c r="AO586" s="47"/>
      <c r="AP586" s="47"/>
      <c r="AQ586" s="47"/>
      <c r="AR586" s="47"/>
      <c r="AS586" s="47"/>
      <c r="AT586" s="47"/>
      <c r="AU586" s="47"/>
      <c r="AV586" s="47"/>
      <c r="AW586" s="47"/>
      <c r="AX586" s="47"/>
      <c r="AY586" s="47"/>
      <c r="AZ586" s="47"/>
      <c r="BA586" s="47"/>
      <c r="BB586" s="47"/>
      <c r="BC586" s="47"/>
      <c r="BD586" s="47"/>
      <c r="BE586" s="47"/>
      <c r="BF586" s="47"/>
      <c r="BG586" s="47"/>
      <c r="BH586" s="47"/>
      <c r="BI586" s="47"/>
      <c r="BJ586" s="47"/>
      <c r="BK586" s="47"/>
      <c r="BL586" s="47"/>
      <c r="BM586" s="47"/>
      <c r="BN586" s="47"/>
      <c r="BO586" s="47"/>
      <c r="BP586" s="47"/>
      <c r="BQ586" s="47"/>
      <c r="BR586" s="47"/>
      <c r="BS586" s="47"/>
      <c r="BT586" s="47"/>
      <c r="BU586" s="47"/>
      <c r="BV586" s="47"/>
      <c r="BW586" s="47"/>
    </row>
    <row r="587" ht="21.0" customHeight="1">
      <c r="A587" s="12"/>
      <c r="B587" s="30" t="s">
        <v>537</v>
      </c>
      <c r="C587" s="26">
        <f>vlookup(B587,'재고 백업'!$A:$B,2,0)</f>
        <v>402</v>
      </c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  <c r="AG587" s="47"/>
      <c r="AH587" s="47"/>
      <c r="AI587" s="47"/>
      <c r="AJ587" s="47"/>
      <c r="AK587" s="47"/>
      <c r="AL587" s="47"/>
      <c r="AM587" s="47"/>
      <c r="AN587" s="47"/>
      <c r="AO587" s="47"/>
      <c r="AP587" s="47"/>
      <c r="AQ587" s="47"/>
      <c r="AR587" s="47"/>
      <c r="AS587" s="47"/>
      <c r="AT587" s="47"/>
      <c r="AU587" s="47"/>
      <c r="AV587" s="47"/>
      <c r="AW587" s="47"/>
      <c r="AX587" s="47"/>
      <c r="AY587" s="47"/>
      <c r="AZ587" s="47"/>
      <c r="BA587" s="47"/>
      <c r="BB587" s="47"/>
      <c r="BC587" s="47"/>
      <c r="BD587" s="47"/>
      <c r="BE587" s="47"/>
      <c r="BF587" s="47"/>
      <c r="BG587" s="47"/>
      <c r="BH587" s="47"/>
      <c r="BI587" s="47"/>
      <c r="BJ587" s="47"/>
      <c r="BK587" s="47"/>
      <c r="BL587" s="47"/>
      <c r="BM587" s="47"/>
      <c r="BN587" s="47"/>
      <c r="BO587" s="47"/>
      <c r="BP587" s="47"/>
      <c r="BQ587" s="47"/>
      <c r="BR587" s="47"/>
      <c r="BS587" s="47"/>
      <c r="BT587" s="47"/>
      <c r="BU587" s="47"/>
      <c r="BV587" s="47"/>
      <c r="BW587" s="47"/>
    </row>
    <row r="588" ht="21.0" customHeight="1">
      <c r="A588" s="12"/>
      <c r="B588" s="30" t="s">
        <v>538</v>
      </c>
      <c r="C588" s="26" t="str">
        <f>vlookup(B588,'재고 백업'!$A:$B,2,0)</f>
        <v>-</v>
      </c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  <c r="AG588" s="47"/>
      <c r="AH588" s="47"/>
      <c r="AI588" s="47"/>
      <c r="AJ588" s="47"/>
      <c r="AK588" s="47"/>
      <c r="AL588" s="47"/>
      <c r="AM588" s="47"/>
      <c r="AN588" s="47"/>
      <c r="AO588" s="47"/>
      <c r="AP588" s="47"/>
      <c r="AQ588" s="47"/>
      <c r="AR588" s="47"/>
      <c r="AS588" s="47"/>
      <c r="AT588" s="47"/>
      <c r="AU588" s="47"/>
      <c r="AV588" s="47"/>
      <c r="AW588" s="47"/>
      <c r="AX588" s="47"/>
      <c r="AY588" s="47"/>
      <c r="AZ588" s="47"/>
      <c r="BA588" s="47"/>
      <c r="BB588" s="47"/>
      <c r="BC588" s="47"/>
      <c r="BD588" s="47"/>
      <c r="BE588" s="47"/>
      <c r="BF588" s="47"/>
      <c r="BG588" s="47"/>
      <c r="BH588" s="47"/>
      <c r="BI588" s="47"/>
      <c r="BJ588" s="47"/>
      <c r="BK588" s="47"/>
      <c r="BL588" s="47"/>
      <c r="BM588" s="47"/>
      <c r="BN588" s="47"/>
      <c r="BO588" s="47"/>
      <c r="BP588" s="47"/>
      <c r="BQ588" s="47"/>
      <c r="BR588" s="47"/>
      <c r="BS588" s="47"/>
      <c r="BT588" s="47"/>
      <c r="BU588" s="47"/>
      <c r="BV588" s="47"/>
      <c r="BW588" s="47"/>
    </row>
    <row r="589" ht="21.0" customHeight="1">
      <c r="A589" s="12"/>
      <c r="B589" s="27"/>
      <c r="C589" s="2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  <c r="AG589" s="47"/>
      <c r="AH589" s="47"/>
      <c r="AI589" s="47"/>
      <c r="AJ589" s="47"/>
      <c r="AK589" s="47"/>
      <c r="AL589" s="47"/>
      <c r="AM589" s="47"/>
      <c r="AN589" s="47"/>
      <c r="AO589" s="47"/>
      <c r="AP589" s="47"/>
      <c r="AQ589" s="47"/>
      <c r="AR589" s="47"/>
      <c r="AS589" s="47"/>
      <c r="AT589" s="47"/>
      <c r="AU589" s="47"/>
      <c r="AV589" s="47"/>
      <c r="AW589" s="47"/>
      <c r="AX589" s="47"/>
      <c r="AY589" s="47"/>
      <c r="AZ589" s="47"/>
      <c r="BA589" s="47"/>
      <c r="BB589" s="47"/>
      <c r="BC589" s="47"/>
      <c r="BD589" s="47"/>
      <c r="BE589" s="47"/>
      <c r="BF589" s="47"/>
      <c r="BG589" s="47"/>
      <c r="BH589" s="47"/>
      <c r="BI589" s="47"/>
      <c r="BJ589" s="47"/>
      <c r="BK589" s="47"/>
      <c r="BL589" s="47"/>
      <c r="BM589" s="47"/>
      <c r="BN589" s="47"/>
      <c r="BO589" s="47"/>
      <c r="BP589" s="47"/>
      <c r="BQ589" s="47"/>
      <c r="BR589" s="47"/>
      <c r="BS589" s="47"/>
      <c r="BT589" s="47"/>
      <c r="BU589" s="47"/>
      <c r="BV589" s="47"/>
      <c r="BW589" s="47"/>
    </row>
    <row r="590" ht="21.0" customHeight="1">
      <c r="A590" s="12"/>
      <c r="B590" s="53" t="s">
        <v>539</v>
      </c>
      <c r="C590" s="53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  <c r="AG590" s="47"/>
      <c r="AH590" s="47"/>
      <c r="AI590" s="47"/>
      <c r="AJ590" s="47"/>
      <c r="AK590" s="47"/>
      <c r="AL590" s="47"/>
      <c r="AM590" s="47"/>
      <c r="AN590" s="47"/>
      <c r="AO590" s="47"/>
      <c r="AP590" s="47"/>
      <c r="AQ590" s="47"/>
      <c r="AR590" s="47"/>
      <c r="AS590" s="47"/>
      <c r="AT590" s="47"/>
      <c r="AU590" s="47"/>
      <c r="AV590" s="47"/>
      <c r="AW590" s="47"/>
      <c r="AX590" s="47"/>
      <c r="AY590" s="47"/>
      <c r="AZ590" s="47"/>
      <c r="BA590" s="47"/>
      <c r="BB590" s="47"/>
      <c r="BC590" s="47"/>
      <c r="BD590" s="47"/>
      <c r="BE590" s="47"/>
      <c r="BF590" s="47"/>
      <c r="BG590" s="47"/>
      <c r="BH590" s="47"/>
      <c r="BI590" s="47"/>
      <c r="BJ590" s="47"/>
      <c r="BK590" s="47"/>
      <c r="BL590" s="47"/>
      <c r="BM590" s="47"/>
      <c r="BN590" s="47"/>
      <c r="BO590" s="47"/>
      <c r="BP590" s="47"/>
      <c r="BQ590" s="47"/>
      <c r="BR590" s="47"/>
      <c r="BS590" s="47"/>
      <c r="BT590" s="47"/>
      <c r="BU590" s="47"/>
      <c r="BV590" s="47"/>
      <c r="BW590" s="47"/>
    </row>
    <row r="591" ht="21.0" customHeight="1">
      <c r="A591" s="12"/>
      <c r="B591" s="21" t="s">
        <v>540</v>
      </c>
      <c r="C591" s="26" t="str">
        <f>vlookup(B591,'재고 백업'!$A:$B,2,0)</f>
        <v>-</v>
      </c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  <c r="AG591" s="47"/>
      <c r="AH591" s="47"/>
      <c r="AI591" s="47"/>
      <c r="AJ591" s="47"/>
      <c r="AK591" s="47"/>
      <c r="AL591" s="47"/>
      <c r="AM591" s="47"/>
      <c r="AN591" s="47"/>
      <c r="AO591" s="47"/>
      <c r="AP591" s="47"/>
      <c r="AQ591" s="47"/>
      <c r="AR591" s="47"/>
      <c r="AS591" s="47"/>
      <c r="AT591" s="47"/>
      <c r="AU591" s="47"/>
      <c r="AV591" s="47"/>
      <c r="AW591" s="47"/>
      <c r="AX591" s="47"/>
      <c r="AY591" s="47"/>
      <c r="AZ591" s="47"/>
      <c r="BA591" s="47"/>
      <c r="BB591" s="47"/>
      <c r="BC591" s="47"/>
      <c r="BD591" s="47"/>
      <c r="BE591" s="47"/>
      <c r="BF591" s="47"/>
      <c r="BG591" s="47"/>
      <c r="BH591" s="47"/>
      <c r="BI591" s="47"/>
      <c r="BJ591" s="47"/>
      <c r="BK591" s="47"/>
      <c r="BL591" s="47"/>
      <c r="BM591" s="47"/>
      <c r="BN591" s="47"/>
      <c r="BO591" s="47"/>
      <c r="BP591" s="47"/>
      <c r="BQ591" s="47"/>
      <c r="BR591" s="47"/>
      <c r="BS591" s="47"/>
      <c r="BT591" s="47"/>
      <c r="BU591" s="47"/>
      <c r="BV591" s="47"/>
      <c r="BW591" s="47"/>
    </row>
    <row r="592" ht="21.0" customHeight="1">
      <c r="A592" s="12"/>
      <c r="B592" s="21" t="s">
        <v>541</v>
      </c>
      <c r="C592" s="21" t="str">
        <f>vlookup(B592,'재고 백업'!$A:$B,2,0)</f>
        <v>-</v>
      </c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  <c r="AG592" s="47"/>
      <c r="AH592" s="47"/>
      <c r="AI592" s="47"/>
      <c r="AJ592" s="47"/>
      <c r="AK592" s="47"/>
      <c r="AL592" s="47"/>
      <c r="AM592" s="47"/>
      <c r="AN592" s="47"/>
      <c r="AO592" s="47"/>
      <c r="AP592" s="47"/>
      <c r="AQ592" s="47"/>
      <c r="AR592" s="47"/>
      <c r="AS592" s="47"/>
      <c r="AT592" s="47"/>
      <c r="AU592" s="47"/>
      <c r="AV592" s="47"/>
      <c r="AW592" s="47"/>
      <c r="AX592" s="47"/>
      <c r="AY592" s="47"/>
      <c r="AZ592" s="47"/>
      <c r="BA592" s="47"/>
      <c r="BB592" s="47"/>
      <c r="BC592" s="47"/>
      <c r="BD592" s="47"/>
      <c r="BE592" s="47"/>
      <c r="BF592" s="47"/>
      <c r="BG592" s="47"/>
      <c r="BH592" s="47"/>
      <c r="BI592" s="47"/>
      <c r="BJ592" s="47"/>
      <c r="BK592" s="47"/>
      <c r="BL592" s="47"/>
      <c r="BM592" s="47"/>
      <c r="BN592" s="47"/>
      <c r="BO592" s="47"/>
      <c r="BP592" s="47"/>
      <c r="BQ592" s="47"/>
      <c r="BR592" s="47"/>
      <c r="BS592" s="47"/>
      <c r="BT592" s="47"/>
      <c r="BU592" s="47"/>
      <c r="BV592" s="47"/>
      <c r="BW592" s="47"/>
    </row>
    <row r="593" ht="21.0" customHeight="1">
      <c r="A593" s="12"/>
      <c r="B593" s="21" t="s">
        <v>542</v>
      </c>
      <c r="C593" s="26">
        <f>vlookup(B593,'재고 백업'!$A:$B,2,0)</f>
        <v>15</v>
      </c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  <c r="AG593" s="47"/>
      <c r="AH593" s="47"/>
      <c r="AI593" s="47"/>
      <c r="AJ593" s="47"/>
      <c r="AK593" s="47"/>
      <c r="AL593" s="47"/>
      <c r="AM593" s="47"/>
      <c r="AN593" s="47"/>
      <c r="AO593" s="47"/>
      <c r="AP593" s="47"/>
      <c r="AQ593" s="47"/>
      <c r="AR593" s="47"/>
      <c r="AS593" s="47"/>
      <c r="AT593" s="47"/>
      <c r="AU593" s="47"/>
      <c r="AV593" s="47"/>
      <c r="AW593" s="47"/>
      <c r="AX593" s="47"/>
      <c r="AY593" s="47"/>
      <c r="AZ593" s="47"/>
      <c r="BA593" s="47"/>
      <c r="BB593" s="47"/>
      <c r="BC593" s="47"/>
      <c r="BD593" s="47"/>
      <c r="BE593" s="47"/>
      <c r="BF593" s="47"/>
      <c r="BG593" s="47"/>
      <c r="BH593" s="47"/>
      <c r="BI593" s="47"/>
      <c r="BJ593" s="47"/>
      <c r="BK593" s="47"/>
      <c r="BL593" s="47"/>
      <c r="BM593" s="47"/>
      <c r="BN593" s="47"/>
      <c r="BO593" s="47"/>
      <c r="BP593" s="47"/>
      <c r="BQ593" s="47"/>
      <c r="BR593" s="47"/>
      <c r="BS593" s="47"/>
      <c r="BT593" s="47"/>
      <c r="BU593" s="47"/>
      <c r="BV593" s="47"/>
      <c r="BW593" s="47"/>
    </row>
    <row r="594" ht="21.0" customHeight="1">
      <c r="A594" s="12"/>
      <c r="B594" s="21" t="s">
        <v>543</v>
      </c>
      <c r="C594" s="26">
        <f>vlookup(B594,'재고 백업'!$A:$B,2,0)</f>
        <v>15</v>
      </c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  <c r="AG594" s="47"/>
      <c r="AH594" s="47"/>
      <c r="AI594" s="47"/>
      <c r="AJ594" s="47"/>
      <c r="AK594" s="47"/>
      <c r="AL594" s="47"/>
      <c r="AM594" s="47"/>
      <c r="AN594" s="47"/>
      <c r="AO594" s="47"/>
      <c r="AP594" s="47"/>
      <c r="AQ594" s="47"/>
      <c r="AR594" s="47"/>
      <c r="AS594" s="47"/>
      <c r="AT594" s="47"/>
      <c r="AU594" s="47"/>
      <c r="AV594" s="47"/>
      <c r="AW594" s="47"/>
      <c r="AX594" s="47"/>
      <c r="AY594" s="47"/>
      <c r="AZ594" s="47"/>
      <c r="BA594" s="47"/>
      <c r="BB594" s="47"/>
      <c r="BC594" s="47"/>
      <c r="BD594" s="47"/>
      <c r="BE594" s="47"/>
      <c r="BF594" s="47"/>
      <c r="BG594" s="47"/>
      <c r="BH594" s="47"/>
      <c r="BI594" s="47"/>
      <c r="BJ594" s="47"/>
      <c r="BK594" s="47"/>
      <c r="BL594" s="47"/>
      <c r="BM594" s="47"/>
      <c r="BN594" s="47"/>
      <c r="BO594" s="47"/>
      <c r="BP594" s="47"/>
      <c r="BQ594" s="47"/>
      <c r="BR594" s="47"/>
      <c r="BS594" s="47"/>
      <c r="BT594" s="47"/>
      <c r="BU594" s="47"/>
      <c r="BV594" s="47"/>
      <c r="BW594" s="47"/>
    </row>
    <row r="595" ht="21.0" customHeight="1">
      <c r="A595" s="12"/>
      <c r="B595" s="21" t="s">
        <v>544</v>
      </c>
      <c r="C595" s="26">
        <f>vlookup(B595,'재고 백업'!$A:$B,2,0)</f>
        <v>21</v>
      </c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  <c r="AG595" s="47"/>
      <c r="AH595" s="47"/>
      <c r="AI595" s="47"/>
      <c r="AJ595" s="47"/>
      <c r="AK595" s="47"/>
      <c r="AL595" s="47"/>
      <c r="AM595" s="47"/>
      <c r="AN595" s="47"/>
      <c r="AO595" s="47"/>
      <c r="AP595" s="47"/>
      <c r="AQ595" s="47"/>
      <c r="AR595" s="47"/>
      <c r="AS595" s="47"/>
      <c r="AT595" s="47"/>
      <c r="AU595" s="47"/>
      <c r="AV595" s="47"/>
      <c r="AW595" s="47"/>
      <c r="AX595" s="47"/>
      <c r="AY595" s="47"/>
      <c r="AZ595" s="47"/>
      <c r="BA595" s="47"/>
      <c r="BB595" s="47"/>
      <c r="BC595" s="47"/>
      <c r="BD595" s="47"/>
      <c r="BE595" s="47"/>
      <c r="BF595" s="47"/>
      <c r="BG595" s="47"/>
      <c r="BH595" s="47"/>
      <c r="BI595" s="47"/>
      <c r="BJ595" s="47"/>
      <c r="BK595" s="47"/>
      <c r="BL595" s="47"/>
      <c r="BM595" s="47"/>
      <c r="BN595" s="47"/>
      <c r="BO595" s="47"/>
      <c r="BP595" s="47"/>
      <c r="BQ595" s="47"/>
      <c r="BR595" s="47"/>
      <c r="BS595" s="47"/>
      <c r="BT595" s="47"/>
      <c r="BU595" s="47"/>
      <c r="BV595" s="47"/>
      <c r="BW595" s="47"/>
    </row>
    <row r="596" ht="21.0" customHeight="1">
      <c r="A596" s="12"/>
      <c r="B596" s="21" t="s">
        <v>545</v>
      </c>
      <c r="C596" s="26">
        <f>vlookup(B596,'재고 백업'!$A:$B,2,0)</f>
        <v>5</v>
      </c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  <c r="AG596" s="47"/>
      <c r="AH596" s="47"/>
      <c r="AI596" s="47"/>
      <c r="AJ596" s="47"/>
      <c r="AK596" s="47"/>
      <c r="AL596" s="47"/>
      <c r="AM596" s="47"/>
      <c r="AN596" s="47"/>
      <c r="AO596" s="47"/>
      <c r="AP596" s="47"/>
      <c r="AQ596" s="47"/>
      <c r="AR596" s="47"/>
      <c r="AS596" s="47"/>
      <c r="AT596" s="47"/>
      <c r="AU596" s="47"/>
      <c r="AV596" s="47"/>
      <c r="AW596" s="47"/>
      <c r="AX596" s="47"/>
      <c r="AY596" s="47"/>
      <c r="AZ596" s="47"/>
      <c r="BA596" s="47"/>
      <c r="BB596" s="47"/>
      <c r="BC596" s="47"/>
      <c r="BD596" s="47"/>
      <c r="BE596" s="47"/>
      <c r="BF596" s="47"/>
      <c r="BG596" s="47"/>
      <c r="BH596" s="47"/>
      <c r="BI596" s="47"/>
      <c r="BJ596" s="47"/>
      <c r="BK596" s="47"/>
      <c r="BL596" s="47"/>
      <c r="BM596" s="47"/>
      <c r="BN596" s="47"/>
      <c r="BO596" s="47"/>
      <c r="BP596" s="47"/>
      <c r="BQ596" s="47"/>
      <c r="BR596" s="47"/>
      <c r="BS596" s="47"/>
      <c r="BT596" s="47"/>
      <c r="BU596" s="47"/>
      <c r="BV596" s="47"/>
      <c r="BW596" s="47"/>
    </row>
    <row r="597" ht="21.0" customHeight="1">
      <c r="A597" s="12"/>
      <c r="B597" s="21" t="s">
        <v>546</v>
      </c>
      <c r="C597" s="26" t="str">
        <f>vlookup(B597,'재고 백업'!$A:$B,2,0)</f>
        <v>-</v>
      </c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  <c r="AG597" s="47"/>
      <c r="AH597" s="47"/>
      <c r="AI597" s="47"/>
      <c r="AJ597" s="47"/>
      <c r="AK597" s="47"/>
      <c r="AL597" s="47"/>
      <c r="AM597" s="47"/>
      <c r="AN597" s="47"/>
      <c r="AO597" s="47"/>
      <c r="AP597" s="47"/>
      <c r="AQ597" s="47"/>
      <c r="AR597" s="47"/>
      <c r="AS597" s="47"/>
      <c r="AT597" s="47"/>
      <c r="AU597" s="47"/>
      <c r="AV597" s="47"/>
      <c r="AW597" s="47"/>
      <c r="AX597" s="47"/>
      <c r="AY597" s="47"/>
      <c r="AZ597" s="47"/>
      <c r="BA597" s="47"/>
      <c r="BB597" s="47"/>
      <c r="BC597" s="47"/>
      <c r="BD597" s="47"/>
      <c r="BE597" s="47"/>
      <c r="BF597" s="47"/>
      <c r="BG597" s="47"/>
      <c r="BH597" s="47"/>
      <c r="BI597" s="47"/>
      <c r="BJ597" s="47"/>
      <c r="BK597" s="47"/>
      <c r="BL597" s="47"/>
      <c r="BM597" s="47"/>
      <c r="BN597" s="47"/>
      <c r="BO597" s="47"/>
      <c r="BP597" s="47"/>
      <c r="BQ597" s="47"/>
      <c r="BR597" s="47"/>
      <c r="BS597" s="47"/>
      <c r="BT597" s="47"/>
      <c r="BU597" s="47"/>
      <c r="BV597" s="47"/>
      <c r="BW597" s="47"/>
    </row>
    <row r="598" ht="21.0" customHeight="1">
      <c r="A598" s="12"/>
      <c r="B598" s="21" t="s">
        <v>547</v>
      </c>
      <c r="C598" s="26">
        <f>vlookup(B598,'재고 백업'!$A:$B,2,0)</f>
        <v>9</v>
      </c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  <c r="AG598" s="47"/>
      <c r="AH598" s="47"/>
      <c r="AI598" s="47"/>
      <c r="AJ598" s="47"/>
      <c r="AK598" s="47"/>
      <c r="AL598" s="47"/>
      <c r="AM598" s="47"/>
      <c r="AN598" s="47"/>
      <c r="AO598" s="47"/>
      <c r="AP598" s="47"/>
      <c r="AQ598" s="47"/>
      <c r="AR598" s="47"/>
      <c r="AS598" s="47"/>
      <c r="AT598" s="47"/>
      <c r="AU598" s="47"/>
      <c r="AV598" s="47"/>
      <c r="AW598" s="47"/>
      <c r="AX598" s="47"/>
      <c r="AY598" s="47"/>
      <c r="AZ598" s="47"/>
      <c r="BA598" s="47"/>
      <c r="BB598" s="47"/>
      <c r="BC598" s="47"/>
      <c r="BD598" s="47"/>
      <c r="BE598" s="47"/>
      <c r="BF598" s="47"/>
      <c r="BG598" s="47"/>
      <c r="BH598" s="47"/>
      <c r="BI598" s="47"/>
      <c r="BJ598" s="47"/>
      <c r="BK598" s="47"/>
      <c r="BL598" s="47"/>
      <c r="BM598" s="47"/>
      <c r="BN598" s="47"/>
      <c r="BO598" s="47"/>
      <c r="BP598" s="47"/>
      <c r="BQ598" s="47"/>
      <c r="BR598" s="47"/>
      <c r="BS598" s="47"/>
      <c r="BT598" s="47"/>
      <c r="BU598" s="47"/>
      <c r="BV598" s="47"/>
      <c r="BW598" s="47"/>
    </row>
    <row r="599" ht="21.0" customHeight="1">
      <c r="A599" s="12"/>
      <c r="B599" s="21" t="s">
        <v>548</v>
      </c>
      <c r="C599" s="26" t="str">
        <f>vlookup(B599,'재고 백업'!$A:$B,2,0)</f>
        <v>-</v>
      </c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  <c r="AG599" s="47"/>
      <c r="AH599" s="47"/>
      <c r="AI599" s="47"/>
      <c r="AJ599" s="47"/>
      <c r="AK599" s="47"/>
      <c r="AL599" s="47"/>
      <c r="AM599" s="47"/>
      <c r="AN599" s="47"/>
      <c r="AO599" s="47"/>
      <c r="AP599" s="47"/>
      <c r="AQ599" s="47"/>
      <c r="AR599" s="47"/>
      <c r="AS599" s="47"/>
      <c r="AT599" s="47"/>
      <c r="AU599" s="47"/>
      <c r="AV599" s="47"/>
      <c r="AW599" s="47"/>
      <c r="AX599" s="47"/>
      <c r="AY599" s="47"/>
      <c r="AZ599" s="47"/>
      <c r="BA599" s="47"/>
      <c r="BB599" s="47"/>
      <c r="BC599" s="47"/>
      <c r="BD599" s="47"/>
      <c r="BE599" s="47"/>
      <c r="BF599" s="47"/>
      <c r="BG599" s="47"/>
      <c r="BH599" s="47"/>
      <c r="BI599" s="47"/>
      <c r="BJ599" s="47"/>
      <c r="BK599" s="47"/>
      <c r="BL599" s="47"/>
      <c r="BM599" s="47"/>
      <c r="BN599" s="47"/>
      <c r="BO599" s="47"/>
      <c r="BP599" s="47"/>
      <c r="BQ599" s="47"/>
      <c r="BR599" s="47"/>
      <c r="BS599" s="47"/>
      <c r="BT599" s="47"/>
      <c r="BU599" s="47"/>
      <c r="BV599" s="47"/>
      <c r="BW599" s="47"/>
    </row>
    <row r="600" ht="21.0" customHeight="1">
      <c r="A600" s="12"/>
      <c r="B600" s="21" t="s">
        <v>549</v>
      </c>
      <c r="C600" s="26" t="str">
        <f>vlookup(B600,'재고 백업'!$A:$B,2,0)</f>
        <v>-</v>
      </c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  <c r="AG600" s="47"/>
      <c r="AH600" s="47"/>
      <c r="AI600" s="47"/>
      <c r="AJ600" s="47"/>
      <c r="AK600" s="47"/>
      <c r="AL600" s="47"/>
      <c r="AM600" s="47"/>
      <c r="AN600" s="47"/>
      <c r="AO600" s="47"/>
      <c r="AP600" s="47"/>
      <c r="AQ600" s="47"/>
      <c r="AR600" s="47"/>
      <c r="AS600" s="47"/>
      <c r="AT600" s="47"/>
      <c r="AU600" s="47"/>
      <c r="AV600" s="47"/>
      <c r="AW600" s="47"/>
      <c r="AX600" s="47"/>
      <c r="AY600" s="47"/>
      <c r="AZ600" s="47"/>
      <c r="BA600" s="47"/>
      <c r="BB600" s="47"/>
      <c r="BC600" s="47"/>
      <c r="BD600" s="47"/>
      <c r="BE600" s="47"/>
      <c r="BF600" s="47"/>
      <c r="BG600" s="47"/>
      <c r="BH600" s="47"/>
      <c r="BI600" s="47"/>
      <c r="BJ600" s="47"/>
      <c r="BK600" s="47"/>
      <c r="BL600" s="47"/>
      <c r="BM600" s="47"/>
      <c r="BN600" s="47"/>
      <c r="BO600" s="47"/>
      <c r="BP600" s="47"/>
      <c r="BQ600" s="47"/>
      <c r="BR600" s="47"/>
      <c r="BS600" s="47"/>
      <c r="BT600" s="47"/>
      <c r="BU600" s="47"/>
      <c r="BV600" s="47"/>
      <c r="BW600" s="47"/>
    </row>
    <row r="601" ht="21.0" customHeight="1">
      <c r="A601" s="12"/>
      <c r="B601" s="21" t="s">
        <v>550</v>
      </c>
      <c r="C601" s="26">
        <f>vlookup(B601,'재고 백업'!$A:$B,2,0)</f>
        <v>12</v>
      </c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  <c r="AG601" s="47"/>
      <c r="AH601" s="47"/>
      <c r="AI601" s="47"/>
      <c r="AJ601" s="47"/>
      <c r="AK601" s="47"/>
      <c r="AL601" s="47"/>
      <c r="AM601" s="47"/>
      <c r="AN601" s="47"/>
      <c r="AO601" s="47"/>
      <c r="AP601" s="47"/>
      <c r="AQ601" s="47"/>
      <c r="AR601" s="47"/>
      <c r="AS601" s="47"/>
      <c r="AT601" s="47"/>
      <c r="AU601" s="47"/>
      <c r="AV601" s="47"/>
      <c r="AW601" s="47"/>
      <c r="AX601" s="47"/>
      <c r="AY601" s="47"/>
      <c r="AZ601" s="47"/>
      <c r="BA601" s="47"/>
      <c r="BB601" s="47"/>
      <c r="BC601" s="47"/>
      <c r="BD601" s="47"/>
      <c r="BE601" s="47"/>
      <c r="BF601" s="47"/>
      <c r="BG601" s="47"/>
      <c r="BH601" s="47"/>
      <c r="BI601" s="47"/>
      <c r="BJ601" s="47"/>
      <c r="BK601" s="47"/>
      <c r="BL601" s="47"/>
      <c r="BM601" s="47"/>
      <c r="BN601" s="47"/>
      <c r="BO601" s="47"/>
      <c r="BP601" s="47"/>
      <c r="BQ601" s="47"/>
      <c r="BR601" s="47"/>
      <c r="BS601" s="47"/>
      <c r="BT601" s="47"/>
      <c r="BU601" s="47"/>
      <c r="BV601" s="47"/>
      <c r="BW601" s="47"/>
    </row>
    <row r="602" ht="21.0" customHeight="1">
      <c r="A602" s="12"/>
      <c r="B602" s="21" t="s">
        <v>551</v>
      </c>
      <c r="C602" s="26" t="str">
        <f>vlookup(B602,'재고 백업'!$A:$B,2,0)</f>
        <v>-</v>
      </c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  <c r="AG602" s="47"/>
      <c r="AH602" s="47"/>
      <c r="AI602" s="47"/>
      <c r="AJ602" s="47"/>
      <c r="AK602" s="47"/>
      <c r="AL602" s="47"/>
      <c r="AM602" s="47"/>
      <c r="AN602" s="47"/>
      <c r="AO602" s="47"/>
      <c r="AP602" s="47"/>
      <c r="AQ602" s="47"/>
      <c r="AR602" s="47"/>
      <c r="AS602" s="47"/>
      <c r="AT602" s="47"/>
      <c r="AU602" s="47"/>
      <c r="AV602" s="47"/>
      <c r="AW602" s="47"/>
      <c r="AX602" s="47"/>
      <c r="AY602" s="47"/>
      <c r="AZ602" s="47"/>
      <c r="BA602" s="47"/>
      <c r="BB602" s="47"/>
      <c r="BC602" s="47"/>
      <c r="BD602" s="47"/>
      <c r="BE602" s="47"/>
      <c r="BF602" s="47"/>
      <c r="BG602" s="47"/>
      <c r="BH602" s="47"/>
      <c r="BI602" s="47"/>
      <c r="BJ602" s="47"/>
      <c r="BK602" s="47"/>
      <c r="BL602" s="47"/>
      <c r="BM602" s="47"/>
      <c r="BN602" s="47"/>
      <c r="BO602" s="47"/>
      <c r="BP602" s="47"/>
      <c r="BQ602" s="47"/>
      <c r="BR602" s="47"/>
      <c r="BS602" s="47"/>
      <c r="BT602" s="47"/>
      <c r="BU602" s="47"/>
      <c r="BV602" s="47"/>
      <c r="BW602" s="47"/>
    </row>
    <row r="603" ht="21.0" customHeight="1">
      <c r="A603" s="12"/>
      <c r="B603" s="67" t="s">
        <v>552</v>
      </c>
      <c r="C603" s="26" t="str">
        <f>vlookup(B603,'재고 백업'!$A:$B,2,0)</f>
        <v>-</v>
      </c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  <c r="AG603" s="47"/>
      <c r="AH603" s="47"/>
      <c r="AI603" s="47"/>
      <c r="AJ603" s="47"/>
      <c r="AK603" s="47"/>
      <c r="AL603" s="47"/>
      <c r="AM603" s="47"/>
      <c r="AN603" s="47"/>
      <c r="AO603" s="47"/>
      <c r="AP603" s="47"/>
      <c r="AQ603" s="47"/>
      <c r="AR603" s="47"/>
      <c r="AS603" s="47"/>
      <c r="AT603" s="47"/>
      <c r="AU603" s="47"/>
      <c r="AV603" s="47"/>
      <c r="AW603" s="47"/>
      <c r="AX603" s="47"/>
      <c r="AY603" s="47"/>
      <c r="AZ603" s="47"/>
      <c r="BA603" s="47"/>
      <c r="BB603" s="47"/>
      <c r="BC603" s="47"/>
      <c r="BD603" s="47"/>
      <c r="BE603" s="47"/>
      <c r="BF603" s="47"/>
      <c r="BG603" s="47"/>
      <c r="BH603" s="47"/>
      <c r="BI603" s="47"/>
      <c r="BJ603" s="47"/>
      <c r="BK603" s="47"/>
      <c r="BL603" s="47"/>
      <c r="BM603" s="47"/>
      <c r="BN603" s="47"/>
      <c r="BO603" s="47"/>
      <c r="BP603" s="47"/>
      <c r="BQ603" s="47"/>
      <c r="BR603" s="47"/>
      <c r="BS603" s="47"/>
      <c r="BT603" s="47"/>
      <c r="BU603" s="47"/>
      <c r="BV603" s="47"/>
      <c r="BW603" s="47"/>
    </row>
    <row r="604" ht="21.0" customHeight="1">
      <c r="A604" s="12"/>
      <c r="B604" s="50"/>
      <c r="C604" s="50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  <c r="AG604" s="47"/>
      <c r="AH604" s="47"/>
      <c r="AI604" s="47"/>
      <c r="AJ604" s="47"/>
      <c r="AK604" s="47"/>
      <c r="AL604" s="47"/>
      <c r="AM604" s="47"/>
      <c r="AN604" s="47"/>
      <c r="AO604" s="47"/>
      <c r="AP604" s="47"/>
      <c r="AQ604" s="47"/>
      <c r="AR604" s="47"/>
      <c r="AS604" s="47"/>
      <c r="AT604" s="47"/>
      <c r="AU604" s="47"/>
      <c r="AV604" s="47"/>
      <c r="AW604" s="47"/>
      <c r="AX604" s="47"/>
      <c r="AY604" s="47"/>
      <c r="AZ604" s="47"/>
      <c r="BA604" s="47"/>
      <c r="BB604" s="47"/>
      <c r="BC604" s="47"/>
      <c r="BD604" s="47"/>
      <c r="BE604" s="47"/>
      <c r="BF604" s="47"/>
      <c r="BG604" s="47"/>
      <c r="BH604" s="47"/>
      <c r="BI604" s="47"/>
      <c r="BJ604" s="47"/>
      <c r="BK604" s="47"/>
      <c r="BL604" s="47"/>
      <c r="BM604" s="47"/>
      <c r="BN604" s="47"/>
      <c r="BO604" s="47"/>
      <c r="BP604" s="47"/>
      <c r="BQ604" s="47"/>
      <c r="BR604" s="47"/>
      <c r="BS604" s="47"/>
      <c r="BT604" s="47"/>
      <c r="BU604" s="47"/>
      <c r="BV604" s="47"/>
      <c r="BW604" s="47"/>
    </row>
    <row r="605" ht="21.0" customHeight="1">
      <c r="A605" s="12"/>
      <c r="B605" s="35" t="s">
        <v>553</v>
      </c>
      <c r="C605" s="5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  <c r="AG605" s="47"/>
      <c r="AH605" s="47"/>
      <c r="AI605" s="47"/>
      <c r="AJ605" s="47"/>
      <c r="AK605" s="47"/>
      <c r="AL605" s="47"/>
      <c r="AM605" s="47"/>
      <c r="AN605" s="47"/>
      <c r="AO605" s="47"/>
      <c r="AP605" s="47"/>
      <c r="AQ605" s="47"/>
      <c r="AR605" s="47"/>
      <c r="AS605" s="47"/>
      <c r="AT605" s="47"/>
      <c r="AU605" s="47"/>
      <c r="AV605" s="47"/>
      <c r="AW605" s="47"/>
      <c r="AX605" s="47"/>
      <c r="AY605" s="47"/>
      <c r="AZ605" s="47"/>
      <c r="BA605" s="47"/>
      <c r="BB605" s="47"/>
      <c r="BC605" s="47"/>
      <c r="BD605" s="47"/>
      <c r="BE605" s="47"/>
      <c r="BF605" s="47"/>
      <c r="BG605" s="47"/>
      <c r="BH605" s="47"/>
      <c r="BI605" s="47"/>
      <c r="BJ605" s="47"/>
      <c r="BK605" s="47"/>
      <c r="BL605" s="47"/>
      <c r="BM605" s="47"/>
      <c r="BN605" s="47"/>
      <c r="BO605" s="47"/>
      <c r="BP605" s="47"/>
      <c r="BQ605" s="47"/>
      <c r="BR605" s="47"/>
      <c r="BS605" s="47"/>
      <c r="BT605" s="47"/>
      <c r="BU605" s="47"/>
      <c r="BV605" s="47"/>
      <c r="BW605" s="47"/>
    </row>
    <row r="606" ht="21.0" customHeight="1">
      <c r="A606" s="12"/>
      <c r="B606" s="36" t="s">
        <v>554</v>
      </c>
      <c r="C606" s="26">
        <f>vlookup(B606,'재고 백업'!$A:$B,2,0)</f>
        <v>20</v>
      </c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  <c r="AG606" s="47"/>
      <c r="AH606" s="47"/>
      <c r="AI606" s="47"/>
      <c r="AJ606" s="47"/>
      <c r="AK606" s="47"/>
      <c r="AL606" s="47"/>
      <c r="AM606" s="47"/>
      <c r="AN606" s="47"/>
      <c r="AO606" s="47"/>
      <c r="AP606" s="47"/>
      <c r="AQ606" s="47"/>
      <c r="AR606" s="47"/>
      <c r="AS606" s="47"/>
      <c r="AT606" s="47"/>
      <c r="AU606" s="47"/>
      <c r="AV606" s="47"/>
      <c r="AW606" s="47"/>
      <c r="AX606" s="47"/>
      <c r="AY606" s="47"/>
      <c r="AZ606" s="47"/>
      <c r="BA606" s="47"/>
      <c r="BB606" s="47"/>
      <c r="BC606" s="47"/>
      <c r="BD606" s="47"/>
      <c r="BE606" s="47"/>
      <c r="BF606" s="47"/>
      <c r="BG606" s="47"/>
      <c r="BH606" s="47"/>
      <c r="BI606" s="47"/>
      <c r="BJ606" s="47"/>
      <c r="BK606" s="47"/>
      <c r="BL606" s="47"/>
      <c r="BM606" s="47"/>
      <c r="BN606" s="47"/>
      <c r="BO606" s="47"/>
      <c r="BP606" s="47"/>
      <c r="BQ606" s="47"/>
      <c r="BR606" s="47"/>
      <c r="BS606" s="47"/>
      <c r="BT606" s="47"/>
      <c r="BU606" s="47"/>
      <c r="BV606" s="47"/>
      <c r="BW606" s="47"/>
    </row>
    <row r="607" ht="21.0" customHeight="1">
      <c r="A607" s="12"/>
      <c r="B607" s="36" t="s">
        <v>555</v>
      </c>
      <c r="C607" s="26">
        <f>vlookup(B607,'재고 백업'!$A:$B,2,0)</f>
        <v>61</v>
      </c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  <c r="AG607" s="47"/>
      <c r="AH607" s="47"/>
      <c r="AI607" s="47"/>
      <c r="AJ607" s="47"/>
      <c r="AK607" s="47"/>
      <c r="AL607" s="47"/>
      <c r="AM607" s="47"/>
      <c r="AN607" s="47"/>
      <c r="AO607" s="47"/>
      <c r="AP607" s="47"/>
      <c r="AQ607" s="47"/>
      <c r="AR607" s="47"/>
      <c r="AS607" s="47"/>
      <c r="AT607" s="47"/>
      <c r="AU607" s="47"/>
      <c r="AV607" s="47"/>
      <c r="AW607" s="47"/>
      <c r="AX607" s="47"/>
      <c r="AY607" s="47"/>
      <c r="AZ607" s="47"/>
      <c r="BA607" s="47"/>
      <c r="BB607" s="47"/>
      <c r="BC607" s="47"/>
      <c r="BD607" s="47"/>
      <c r="BE607" s="47"/>
      <c r="BF607" s="47"/>
      <c r="BG607" s="47"/>
      <c r="BH607" s="47"/>
      <c r="BI607" s="47"/>
      <c r="BJ607" s="47"/>
      <c r="BK607" s="47"/>
      <c r="BL607" s="47"/>
      <c r="BM607" s="47"/>
      <c r="BN607" s="47"/>
      <c r="BO607" s="47"/>
      <c r="BP607" s="47"/>
      <c r="BQ607" s="47"/>
      <c r="BR607" s="47"/>
      <c r="BS607" s="47"/>
      <c r="BT607" s="47"/>
      <c r="BU607" s="47"/>
      <c r="BV607" s="47"/>
      <c r="BW607" s="47"/>
    </row>
    <row r="608" ht="21.0" customHeight="1">
      <c r="A608" s="12"/>
      <c r="B608" s="36" t="s">
        <v>556</v>
      </c>
      <c r="C608" s="26">
        <f>vlookup(B608,'재고 백업'!$A:$B,2,0)</f>
        <v>97</v>
      </c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  <c r="AG608" s="47"/>
      <c r="AH608" s="47"/>
      <c r="AI608" s="47"/>
      <c r="AJ608" s="47"/>
      <c r="AK608" s="47"/>
      <c r="AL608" s="47"/>
      <c r="AM608" s="47"/>
      <c r="AN608" s="47"/>
      <c r="AO608" s="47"/>
      <c r="AP608" s="47"/>
      <c r="AQ608" s="47"/>
      <c r="AR608" s="47"/>
      <c r="AS608" s="47"/>
      <c r="AT608" s="47"/>
      <c r="AU608" s="47"/>
      <c r="AV608" s="47"/>
      <c r="AW608" s="47"/>
      <c r="AX608" s="47"/>
      <c r="AY608" s="47"/>
      <c r="AZ608" s="47"/>
      <c r="BA608" s="47"/>
      <c r="BB608" s="47"/>
      <c r="BC608" s="47"/>
      <c r="BD608" s="47"/>
      <c r="BE608" s="47"/>
      <c r="BF608" s="47"/>
      <c r="BG608" s="47"/>
      <c r="BH608" s="47"/>
      <c r="BI608" s="47"/>
      <c r="BJ608" s="47"/>
      <c r="BK608" s="47"/>
      <c r="BL608" s="47"/>
      <c r="BM608" s="47"/>
      <c r="BN608" s="47"/>
      <c r="BO608" s="47"/>
      <c r="BP608" s="47"/>
      <c r="BQ608" s="47"/>
      <c r="BR608" s="47"/>
      <c r="BS608" s="47"/>
      <c r="BT608" s="47"/>
      <c r="BU608" s="47"/>
      <c r="BV608" s="47"/>
      <c r="BW608" s="47"/>
    </row>
    <row r="609" ht="21.0" customHeight="1">
      <c r="A609" s="43"/>
      <c r="B609" s="36" t="s">
        <v>557</v>
      </c>
      <c r="C609" s="26">
        <f>vlookup(B609,'재고 백업'!$A:$B,2,0)</f>
        <v>8</v>
      </c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  <c r="AG609" s="47"/>
      <c r="AH609" s="47"/>
      <c r="AI609" s="47"/>
      <c r="AJ609" s="47"/>
      <c r="AK609" s="47"/>
      <c r="AL609" s="47"/>
      <c r="AM609" s="47"/>
      <c r="AN609" s="47"/>
      <c r="AO609" s="47"/>
      <c r="AP609" s="47"/>
      <c r="AQ609" s="47"/>
      <c r="AR609" s="47"/>
      <c r="AS609" s="47"/>
      <c r="AT609" s="47"/>
      <c r="AU609" s="47"/>
      <c r="AV609" s="47"/>
      <c r="AW609" s="47"/>
      <c r="AX609" s="47"/>
      <c r="AY609" s="47"/>
      <c r="AZ609" s="47"/>
      <c r="BA609" s="47"/>
      <c r="BB609" s="47"/>
      <c r="BC609" s="47"/>
      <c r="BD609" s="47"/>
      <c r="BE609" s="47"/>
      <c r="BF609" s="47"/>
      <c r="BG609" s="47"/>
      <c r="BH609" s="47"/>
      <c r="BI609" s="47"/>
      <c r="BJ609" s="47"/>
      <c r="BK609" s="47"/>
      <c r="BL609" s="47"/>
      <c r="BM609" s="47"/>
      <c r="BN609" s="47"/>
      <c r="BO609" s="47"/>
      <c r="BP609" s="47"/>
      <c r="BQ609" s="47"/>
      <c r="BR609" s="47"/>
      <c r="BS609" s="47"/>
      <c r="BT609" s="47"/>
      <c r="BU609" s="47"/>
      <c r="BV609" s="47"/>
      <c r="BW609" s="47"/>
    </row>
    <row r="610" ht="21.0" customHeight="1">
      <c r="A610" s="43"/>
      <c r="B610" s="36" t="s">
        <v>558</v>
      </c>
      <c r="C610" s="26">
        <f>vlookup(B610,'재고 백업'!$A:$B,2,0)</f>
        <v>46</v>
      </c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  <c r="AG610" s="47"/>
      <c r="AH610" s="47"/>
      <c r="AI610" s="47"/>
      <c r="AJ610" s="47"/>
      <c r="AK610" s="47"/>
      <c r="AL610" s="47"/>
      <c r="AM610" s="47"/>
      <c r="AN610" s="47"/>
      <c r="AO610" s="47"/>
      <c r="AP610" s="47"/>
      <c r="AQ610" s="47"/>
      <c r="AR610" s="47"/>
      <c r="AS610" s="47"/>
      <c r="AT610" s="47"/>
      <c r="AU610" s="47"/>
      <c r="AV610" s="47"/>
      <c r="AW610" s="47"/>
      <c r="AX610" s="47"/>
      <c r="AY610" s="47"/>
      <c r="AZ610" s="47"/>
      <c r="BA610" s="47"/>
      <c r="BB610" s="47"/>
      <c r="BC610" s="47"/>
      <c r="BD610" s="47"/>
      <c r="BE610" s="47"/>
      <c r="BF610" s="47"/>
      <c r="BG610" s="47"/>
      <c r="BH610" s="47"/>
      <c r="BI610" s="47"/>
      <c r="BJ610" s="47"/>
      <c r="BK610" s="47"/>
      <c r="BL610" s="47"/>
      <c r="BM610" s="47"/>
      <c r="BN610" s="47"/>
      <c r="BO610" s="47"/>
      <c r="BP610" s="47"/>
      <c r="BQ610" s="47"/>
      <c r="BR610" s="47"/>
      <c r="BS610" s="47"/>
      <c r="BT610" s="47"/>
      <c r="BU610" s="47"/>
      <c r="BV610" s="47"/>
      <c r="BW610" s="47"/>
    </row>
    <row r="611" ht="21.0" customHeight="1">
      <c r="A611" s="43"/>
      <c r="B611" s="36" t="s">
        <v>559</v>
      </c>
      <c r="C611" s="26">
        <f>vlookup(B611,'재고 백업'!$A:$B,2,0)</f>
        <v>30</v>
      </c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  <c r="AG611" s="47"/>
      <c r="AH611" s="47"/>
      <c r="AI611" s="47"/>
      <c r="AJ611" s="47"/>
      <c r="AK611" s="47"/>
      <c r="AL611" s="47"/>
      <c r="AM611" s="47"/>
      <c r="AN611" s="47"/>
      <c r="AO611" s="47"/>
      <c r="AP611" s="47"/>
      <c r="AQ611" s="47"/>
      <c r="AR611" s="47"/>
      <c r="AS611" s="47"/>
      <c r="AT611" s="47"/>
      <c r="AU611" s="47"/>
      <c r="AV611" s="47"/>
      <c r="AW611" s="47"/>
      <c r="AX611" s="47"/>
      <c r="AY611" s="47"/>
      <c r="AZ611" s="47"/>
      <c r="BA611" s="47"/>
      <c r="BB611" s="47"/>
      <c r="BC611" s="47"/>
      <c r="BD611" s="47"/>
      <c r="BE611" s="47"/>
      <c r="BF611" s="47"/>
      <c r="BG611" s="47"/>
      <c r="BH611" s="47"/>
      <c r="BI611" s="47"/>
      <c r="BJ611" s="47"/>
      <c r="BK611" s="47"/>
      <c r="BL611" s="47"/>
      <c r="BM611" s="47"/>
      <c r="BN611" s="47"/>
      <c r="BO611" s="47"/>
      <c r="BP611" s="47"/>
      <c r="BQ611" s="47"/>
      <c r="BR611" s="47"/>
      <c r="BS611" s="47"/>
      <c r="BT611" s="47"/>
      <c r="BU611" s="47"/>
      <c r="BV611" s="47"/>
      <c r="BW611" s="47"/>
    </row>
    <row r="612" ht="21.0" customHeight="1">
      <c r="A612" s="43"/>
      <c r="B612" s="36" t="s">
        <v>560</v>
      </c>
      <c r="C612" s="26" t="str">
        <f>vlookup(B612,'재고 백업'!$A:$B,2,0)</f>
        <v>-</v>
      </c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  <c r="AG612" s="47"/>
      <c r="AH612" s="47"/>
      <c r="AI612" s="47"/>
      <c r="AJ612" s="47"/>
      <c r="AK612" s="47"/>
      <c r="AL612" s="47"/>
      <c r="AM612" s="47"/>
      <c r="AN612" s="47"/>
      <c r="AO612" s="47"/>
      <c r="AP612" s="47"/>
      <c r="AQ612" s="47"/>
      <c r="AR612" s="47"/>
      <c r="AS612" s="47"/>
      <c r="AT612" s="47"/>
      <c r="AU612" s="47"/>
      <c r="AV612" s="47"/>
      <c r="AW612" s="47"/>
      <c r="AX612" s="47"/>
      <c r="AY612" s="47"/>
      <c r="AZ612" s="47"/>
      <c r="BA612" s="47"/>
      <c r="BB612" s="47"/>
      <c r="BC612" s="47"/>
      <c r="BD612" s="47"/>
      <c r="BE612" s="47"/>
      <c r="BF612" s="47"/>
      <c r="BG612" s="47"/>
      <c r="BH612" s="47"/>
      <c r="BI612" s="47"/>
      <c r="BJ612" s="47"/>
      <c r="BK612" s="47"/>
      <c r="BL612" s="47"/>
      <c r="BM612" s="47"/>
      <c r="BN612" s="47"/>
      <c r="BO612" s="47"/>
      <c r="BP612" s="47"/>
      <c r="BQ612" s="47"/>
      <c r="BR612" s="47"/>
      <c r="BS612" s="47"/>
      <c r="BT612" s="47"/>
      <c r="BU612" s="47"/>
      <c r="BV612" s="47"/>
      <c r="BW612" s="47"/>
    </row>
    <row r="613" ht="21.0" customHeight="1">
      <c r="A613" s="43"/>
      <c r="B613" s="36" t="s">
        <v>561</v>
      </c>
      <c r="C613" s="26">
        <f>vlookup(B613,'재고 백업'!$A:$B,2,0)</f>
        <v>21</v>
      </c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  <c r="AG613" s="47"/>
      <c r="AH613" s="47"/>
      <c r="AI613" s="47"/>
      <c r="AJ613" s="47"/>
      <c r="AK613" s="47"/>
      <c r="AL613" s="47"/>
      <c r="AM613" s="47"/>
      <c r="AN613" s="47"/>
      <c r="AO613" s="47"/>
      <c r="AP613" s="47"/>
      <c r="AQ613" s="47"/>
      <c r="AR613" s="47"/>
      <c r="AS613" s="47"/>
      <c r="AT613" s="47"/>
      <c r="AU613" s="47"/>
      <c r="AV613" s="47"/>
      <c r="AW613" s="47"/>
      <c r="AX613" s="47"/>
      <c r="AY613" s="47"/>
      <c r="AZ613" s="47"/>
      <c r="BA613" s="47"/>
      <c r="BB613" s="47"/>
      <c r="BC613" s="47"/>
      <c r="BD613" s="47"/>
      <c r="BE613" s="47"/>
      <c r="BF613" s="47"/>
      <c r="BG613" s="47"/>
      <c r="BH613" s="47"/>
      <c r="BI613" s="47"/>
      <c r="BJ613" s="47"/>
      <c r="BK613" s="47"/>
      <c r="BL613" s="47"/>
      <c r="BM613" s="47"/>
      <c r="BN613" s="47"/>
      <c r="BO613" s="47"/>
      <c r="BP613" s="47"/>
      <c r="BQ613" s="47"/>
      <c r="BR613" s="47"/>
      <c r="BS613" s="47"/>
      <c r="BT613" s="47"/>
      <c r="BU613" s="47"/>
      <c r="BV613" s="47"/>
      <c r="BW613" s="47"/>
    </row>
    <row r="614" ht="21.0" customHeight="1">
      <c r="A614" s="43"/>
      <c r="B614" s="36" t="s">
        <v>562</v>
      </c>
      <c r="C614" s="26">
        <f>vlookup(B614,'재고 백업'!$A:$B,2,0)</f>
        <v>3</v>
      </c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  <c r="AG614" s="47"/>
      <c r="AH614" s="47"/>
      <c r="AI614" s="47"/>
      <c r="AJ614" s="47"/>
      <c r="AK614" s="47"/>
      <c r="AL614" s="47"/>
      <c r="AM614" s="47"/>
      <c r="AN614" s="47"/>
      <c r="AO614" s="47"/>
      <c r="AP614" s="47"/>
      <c r="AQ614" s="47"/>
      <c r="AR614" s="47"/>
      <c r="AS614" s="47"/>
      <c r="AT614" s="47"/>
      <c r="AU614" s="47"/>
      <c r="AV614" s="47"/>
      <c r="AW614" s="47"/>
      <c r="AX614" s="47"/>
      <c r="AY614" s="47"/>
      <c r="AZ614" s="47"/>
      <c r="BA614" s="47"/>
      <c r="BB614" s="47"/>
      <c r="BC614" s="47"/>
      <c r="BD614" s="47"/>
      <c r="BE614" s="47"/>
      <c r="BF614" s="47"/>
      <c r="BG614" s="47"/>
      <c r="BH614" s="47"/>
      <c r="BI614" s="47"/>
      <c r="BJ614" s="47"/>
      <c r="BK614" s="47"/>
      <c r="BL614" s="47"/>
      <c r="BM614" s="47"/>
      <c r="BN614" s="47"/>
      <c r="BO614" s="47"/>
      <c r="BP614" s="47"/>
      <c r="BQ614" s="47"/>
      <c r="BR614" s="47"/>
      <c r="BS614" s="47"/>
      <c r="BT614" s="47"/>
      <c r="BU614" s="47"/>
      <c r="BV614" s="47"/>
      <c r="BW614" s="47"/>
    </row>
    <row r="615" ht="21.0" customHeight="1">
      <c r="A615" s="43"/>
      <c r="B615" s="36" t="s">
        <v>563</v>
      </c>
      <c r="C615" s="26">
        <f>vlookup(B615,'재고 백업'!$A:$B,2,0)</f>
        <v>288</v>
      </c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  <c r="AG615" s="47"/>
      <c r="AH615" s="47"/>
      <c r="AI615" s="47"/>
      <c r="AJ615" s="47"/>
      <c r="AK615" s="47"/>
      <c r="AL615" s="47"/>
      <c r="AM615" s="47"/>
      <c r="AN615" s="47"/>
      <c r="AO615" s="47"/>
      <c r="AP615" s="47"/>
      <c r="AQ615" s="47"/>
      <c r="AR615" s="47"/>
      <c r="AS615" s="47"/>
      <c r="AT615" s="47"/>
      <c r="AU615" s="47"/>
      <c r="AV615" s="47"/>
      <c r="AW615" s="47"/>
      <c r="AX615" s="47"/>
      <c r="AY615" s="47"/>
      <c r="AZ615" s="47"/>
      <c r="BA615" s="47"/>
      <c r="BB615" s="47"/>
      <c r="BC615" s="47"/>
      <c r="BD615" s="47"/>
      <c r="BE615" s="47"/>
      <c r="BF615" s="47"/>
      <c r="BG615" s="47"/>
      <c r="BH615" s="47"/>
      <c r="BI615" s="47"/>
      <c r="BJ615" s="47"/>
      <c r="BK615" s="47"/>
      <c r="BL615" s="47"/>
      <c r="BM615" s="47"/>
      <c r="BN615" s="47"/>
      <c r="BO615" s="47"/>
      <c r="BP615" s="47"/>
      <c r="BQ615" s="47"/>
      <c r="BR615" s="47"/>
      <c r="BS615" s="47"/>
      <c r="BT615" s="47"/>
      <c r="BU615" s="47"/>
      <c r="BV615" s="47"/>
      <c r="BW615" s="47"/>
    </row>
    <row r="616" ht="21.0" customHeight="1">
      <c r="A616" s="43"/>
      <c r="B616" s="36" t="s">
        <v>564</v>
      </c>
      <c r="C616" s="26">
        <f>vlookup(B616,'재고 백업'!$A:$B,2,0)</f>
        <v>234</v>
      </c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  <c r="AG616" s="47"/>
      <c r="AH616" s="47"/>
      <c r="AI616" s="47"/>
      <c r="AJ616" s="47"/>
      <c r="AK616" s="47"/>
      <c r="AL616" s="47"/>
      <c r="AM616" s="47"/>
      <c r="AN616" s="47"/>
      <c r="AO616" s="47"/>
      <c r="AP616" s="47"/>
      <c r="AQ616" s="47"/>
      <c r="AR616" s="47"/>
      <c r="AS616" s="47"/>
      <c r="AT616" s="47"/>
      <c r="AU616" s="47"/>
      <c r="AV616" s="47"/>
      <c r="AW616" s="47"/>
      <c r="AX616" s="47"/>
      <c r="AY616" s="47"/>
      <c r="AZ616" s="47"/>
      <c r="BA616" s="47"/>
      <c r="BB616" s="47"/>
      <c r="BC616" s="47"/>
      <c r="BD616" s="47"/>
      <c r="BE616" s="47"/>
      <c r="BF616" s="47"/>
      <c r="BG616" s="47"/>
      <c r="BH616" s="47"/>
      <c r="BI616" s="47"/>
      <c r="BJ616" s="47"/>
      <c r="BK616" s="47"/>
      <c r="BL616" s="47"/>
      <c r="BM616" s="47"/>
      <c r="BN616" s="47"/>
      <c r="BO616" s="47"/>
      <c r="BP616" s="47"/>
      <c r="BQ616" s="47"/>
      <c r="BR616" s="47"/>
      <c r="BS616" s="47"/>
      <c r="BT616" s="47"/>
      <c r="BU616" s="47"/>
      <c r="BV616" s="47"/>
      <c r="BW616" s="47"/>
    </row>
    <row r="617" ht="21.0" customHeight="1">
      <c r="A617" s="43"/>
      <c r="B617" s="36" t="s">
        <v>565</v>
      </c>
      <c r="C617" s="21" t="str">
        <f>vlookup(B617,'재고 백업'!$A:$B,2,0)</f>
        <v>-</v>
      </c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  <c r="AG617" s="47"/>
      <c r="AH617" s="47"/>
      <c r="AI617" s="47"/>
      <c r="AJ617" s="47"/>
      <c r="AK617" s="47"/>
      <c r="AL617" s="47"/>
      <c r="AM617" s="47"/>
      <c r="AN617" s="47"/>
      <c r="AO617" s="47"/>
      <c r="AP617" s="47"/>
      <c r="AQ617" s="47"/>
      <c r="AR617" s="47"/>
      <c r="AS617" s="47"/>
      <c r="AT617" s="47"/>
      <c r="AU617" s="47"/>
      <c r="AV617" s="47"/>
      <c r="AW617" s="47"/>
      <c r="AX617" s="47"/>
      <c r="AY617" s="47"/>
      <c r="AZ617" s="47"/>
      <c r="BA617" s="47"/>
      <c r="BB617" s="47"/>
      <c r="BC617" s="47"/>
      <c r="BD617" s="47"/>
      <c r="BE617" s="47"/>
      <c r="BF617" s="47"/>
      <c r="BG617" s="47"/>
      <c r="BH617" s="47"/>
      <c r="BI617" s="47"/>
      <c r="BJ617" s="47"/>
      <c r="BK617" s="47"/>
      <c r="BL617" s="47"/>
      <c r="BM617" s="47"/>
      <c r="BN617" s="47"/>
      <c r="BO617" s="47"/>
      <c r="BP617" s="47"/>
      <c r="BQ617" s="47"/>
      <c r="BR617" s="47"/>
      <c r="BS617" s="47"/>
      <c r="BT617" s="47"/>
      <c r="BU617" s="47"/>
      <c r="BV617" s="47"/>
      <c r="BW617" s="47"/>
    </row>
    <row r="618" ht="21.0" customHeight="1">
      <c r="A618" s="43"/>
      <c r="B618" s="36" t="s">
        <v>566</v>
      </c>
      <c r="C618" s="26">
        <f>vlookup(B618,'재고 백업'!$A:$B,2,0)</f>
        <v>39</v>
      </c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  <c r="AG618" s="47"/>
      <c r="AH618" s="47"/>
      <c r="AI618" s="47"/>
      <c r="AJ618" s="47"/>
      <c r="AK618" s="47"/>
      <c r="AL618" s="47"/>
      <c r="AM618" s="47"/>
      <c r="AN618" s="47"/>
      <c r="AO618" s="47"/>
      <c r="AP618" s="47"/>
      <c r="AQ618" s="47"/>
      <c r="AR618" s="47"/>
      <c r="AS618" s="47"/>
      <c r="AT618" s="47"/>
      <c r="AU618" s="47"/>
      <c r="AV618" s="47"/>
      <c r="AW618" s="47"/>
      <c r="AX618" s="47"/>
      <c r="AY618" s="47"/>
      <c r="AZ618" s="47"/>
      <c r="BA618" s="47"/>
      <c r="BB618" s="47"/>
      <c r="BC618" s="47"/>
      <c r="BD618" s="47"/>
      <c r="BE618" s="47"/>
      <c r="BF618" s="47"/>
      <c r="BG618" s="47"/>
      <c r="BH618" s="47"/>
      <c r="BI618" s="47"/>
      <c r="BJ618" s="47"/>
      <c r="BK618" s="47"/>
      <c r="BL618" s="47"/>
      <c r="BM618" s="47"/>
      <c r="BN618" s="47"/>
      <c r="BO618" s="47"/>
      <c r="BP618" s="47"/>
      <c r="BQ618" s="47"/>
      <c r="BR618" s="47"/>
      <c r="BS618" s="47"/>
      <c r="BT618" s="47"/>
      <c r="BU618" s="47"/>
      <c r="BV618" s="47"/>
      <c r="BW618" s="47"/>
    </row>
    <row r="619" ht="21.0" customHeight="1">
      <c r="A619" s="43"/>
      <c r="B619" s="36" t="s">
        <v>567</v>
      </c>
      <c r="C619" s="26">
        <f>vlookup(B619,'재고 백업'!$A:$B,2,0)</f>
        <v>88</v>
      </c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  <c r="AG619" s="47"/>
      <c r="AH619" s="47"/>
      <c r="AI619" s="47"/>
      <c r="AJ619" s="47"/>
      <c r="AK619" s="47"/>
      <c r="AL619" s="47"/>
      <c r="AM619" s="47"/>
      <c r="AN619" s="47"/>
      <c r="AO619" s="47"/>
      <c r="AP619" s="47"/>
      <c r="AQ619" s="47"/>
      <c r="AR619" s="47"/>
      <c r="AS619" s="47"/>
      <c r="AT619" s="47"/>
      <c r="AU619" s="47"/>
      <c r="AV619" s="47"/>
      <c r="AW619" s="47"/>
      <c r="AX619" s="47"/>
      <c r="AY619" s="47"/>
      <c r="AZ619" s="47"/>
      <c r="BA619" s="47"/>
      <c r="BB619" s="47"/>
      <c r="BC619" s="47"/>
      <c r="BD619" s="47"/>
      <c r="BE619" s="47"/>
      <c r="BF619" s="47"/>
      <c r="BG619" s="47"/>
      <c r="BH619" s="47"/>
      <c r="BI619" s="47"/>
      <c r="BJ619" s="47"/>
      <c r="BK619" s="47"/>
      <c r="BL619" s="47"/>
      <c r="BM619" s="47"/>
      <c r="BN619" s="47"/>
      <c r="BO619" s="47"/>
      <c r="BP619" s="47"/>
      <c r="BQ619" s="47"/>
      <c r="BR619" s="47"/>
      <c r="BS619" s="47"/>
      <c r="BT619" s="47"/>
      <c r="BU619" s="47"/>
      <c r="BV619" s="47"/>
      <c r="BW619" s="47"/>
    </row>
    <row r="620" ht="21.0" customHeight="1">
      <c r="A620" s="43"/>
      <c r="B620" s="36" t="s">
        <v>568</v>
      </c>
      <c r="C620" s="26">
        <f>vlookup(B620,'재고 백업'!$A:$B,2,0)</f>
        <v>39</v>
      </c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  <c r="AG620" s="47"/>
      <c r="AH620" s="47"/>
      <c r="AI620" s="47"/>
      <c r="AJ620" s="47"/>
      <c r="AK620" s="47"/>
      <c r="AL620" s="47"/>
      <c r="AM620" s="47"/>
      <c r="AN620" s="47"/>
      <c r="AO620" s="47"/>
      <c r="AP620" s="47"/>
      <c r="AQ620" s="47"/>
      <c r="AR620" s="47"/>
      <c r="AS620" s="47"/>
      <c r="AT620" s="47"/>
      <c r="AU620" s="47"/>
      <c r="AV620" s="47"/>
      <c r="AW620" s="47"/>
      <c r="AX620" s="47"/>
      <c r="AY620" s="47"/>
      <c r="AZ620" s="47"/>
      <c r="BA620" s="47"/>
      <c r="BB620" s="47"/>
      <c r="BC620" s="47"/>
      <c r="BD620" s="47"/>
      <c r="BE620" s="47"/>
      <c r="BF620" s="47"/>
      <c r="BG620" s="47"/>
      <c r="BH620" s="47"/>
      <c r="BI620" s="47"/>
      <c r="BJ620" s="47"/>
      <c r="BK620" s="47"/>
      <c r="BL620" s="47"/>
      <c r="BM620" s="47"/>
      <c r="BN620" s="47"/>
      <c r="BO620" s="47"/>
      <c r="BP620" s="47"/>
      <c r="BQ620" s="47"/>
      <c r="BR620" s="47"/>
      <c r="BS620" s="47"/>
      <c r="BT620" s="47"/>
      <c r="BU620" s="47"/>
      <c r="BV620" s="47"/>
      <c r="BW620" s="47"/>
    </row>
    <row r="621" ht="21.0" customHeight="1">
      <c r="A621" s="43"/>
      <c r="B621" s="36" t="s">
        <v>569</v>
      </c>
      <c r="C621" s="26">
        <f>vlookup(B621,'재고 백업'!$A:$B,2,0)</f>
        <v>5</v>
      </c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  <c r="AG621" s="47"/>
      <c r="AH621" s="47"/>
      <c r="AI621" s="47"/>
      <c r="AJ621" s="47"/>
      <c r="AK621" s="47"/>
      <c r="AL621" s="47"/>
      <c r="AM621" s="47"/>
      <c r="AN621" s="47"/>
      <c r="AO621" s="47"/>
      <c r="AP621" s="47"/>
      <c r="AQ621" s="47"/>
      <c r="AR621" s="47"/>
      <c r="AS621" s="47"/>
      <c r="AT621" s="47"/>
      <c r="AU621" s="47"/>
      <c r="AV621" s="47"/>
      <c r="AW621" s="47"/>
      <c r="AX621" s="47"/>
      <c r="AY621" s="47"/>
      <c r="AZ621" s="47"/>
      <c r="BA621" s="47"/>
      <c r="BB621" s="47"/>
      <c r="BC621" s="47"/>
      <c r="BD621" s="47"/>
      <c r="BE621" s="47"/>
      <c r="BF621" s="47"/>
      <c r="BG621" s="47"/>
      <c r="BH621" s="47"/>
      <c r="BI621" s="47"/>
      <c r="BJ621" s="47"/>
      <c r="BK621" s="47"/>
      <c r="BL621" s="47"/>
      <c r="BM621" s="47"/>
      <c r="BN621" s="47"/>
      <c r="BO621" s="47"/>
      <c r="BP621" s="47"/>
      <c r="BQ621" s="47"/>
      <c r="BR621" s="47"/>
      <c r="BS621" s="47"/>
      <c r="BT621" s="47"/>
      <c r="BU621" s="47"/>
      <c r="BV621" s="47"/>
      <c r="BW621" s="47"/>
    </row>
    <row r="622" ht="21.0" customHeight="1">
      <c r="A622" s="43"/>
      <c r="B622" s="36" t="s">
        <v>570</v>
      </c>
      <c r="C622" s="26">
        <f>vlookup(B622,'재고 백업'!$A:$B,2,0)</f>
        <v>9</v>
      </c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  <c r="AG622" s="47"/>
      <c r="AH622" s="47"/>
      <c r="AI622" s="47"/>
      <c r="AJ622" s="47"/>
      <c r="AK622" s="47"/>
      <c r="AL622" s="47"/>
      <c r="AM622" s="47"/>
      <c r="AN622" s="47"/>
      <c r="AO622" s="47"/>
      <c r="AP622" s="47"/>
      <c r="AQ622" s="47"/>
      <c r="AR622" s="47"/>
      <c r="AS622" s="47"/>
      <c r="AT622" s="47"/>
      <c r="AU622" s="47"/>
      <c r="AV622" s="47"/>
      <c r="AW622" s="47"/>
      <c r="AX622" s="47"/>
      <c r="AY622" s="47"/>
      <c r="AZ622" s="47"/>
      <c r="BA622" s="47"/>
      <c r="BB622" s="47"/>
      <c r="BC622" s="47"/>
      <c r="BD622" s="47"/>
      <c r="BE622" s="47"/>
      <c r="BF622" s="47"/>
      <c r="BG622" s="47"/>
      <c r="BH622" s="47"/>
      <c r="BI622" s="47"/>
      <c r="BJ622" s="47"/>
      <c r="BK622" s="47"/>
      <c r="BL622" s="47"/>
      <c r="BM622" s="47"/>
      <c r="BN622" s="47"/>
      <c r="BO622" s="47"/>
      <c r="BP622" s="47"/>
      <c r="BQ622" s="47"/>
      <c r="BR622" s="47"/>
      <c r="BS622" s="47"/>
      <c r="BT622" s="47"/>
      <c r="BU622" s="47"/>
      <c r="BV622" s="47"/>
      <c r="BW622" s="47"/>
    </row>
    <row r="623" ht="21.0" customHeight="1">
      <c r="A623" s="43"/>
      <c r="B623" s="36" t="s">
        <v>571</v>
      </c>
      <c r="C623" s="26" t="str">
        <f>vlookup(B623,'재고 백업'!$A:$B,2,0)</f>
        <v>-</v>
      </c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  <c r="AG623" s="47"/>
      <c r="AH623" s="47"/>
      <c r="AI623" s="47"/>
      <c r="AJ623" s="47"/>
      <c r="AK623" s="47"/>
      <c r="AL623" s="47"/>
      <c r="AM623" s="47"/>
      <c r="AN623" s="47"/>
      <c r="AO623" s="47"/>
      <c r="AP623" s="47"/>
      <c r="AQ623" s="47"/>
      <c r="AR623" s="47"/>
      <c r="AS623" s="47"/>
      <c r="AT623" s="47"/>
      <c r="AU623" s="47"/>
      <c r="AV623" s="47"/>
      <c r="AW623" s="47"/>
      <c r="AX623" s="47"/>
      <c r="AY623" s="47"/>
      <c r="AZ623" s="47"/>
      <c r="BA623" s="47"/>
      <c r="BB623" s="47"/>
      <c r="BC623" s="47"/>
      <c r="BD623" s="47"/>
      <c r="BE623" s="47"/>
      <c r="BF623" s="47"/>
      <c r="BG623" s="47"/>
      <c r="BH623" s="47"/>
      <c r="BI623" s="47"/>
      <c r="BJ623" s="47"/>
      <c r="BK623" s="47"/>
      <c r="BL623" s="47"/>
      <c r="BM623" s="47"/>
      <c r="BN623" s="47"/>
      <c r="BO623" s="47"/>
      <c r="BP623" s="47"/>
      <c r="BQ623" s="47"/>
      <c r="BR623" s="47"/>
      <c r="BS623" s="47"/>
      <c r="BT623" s="47"/>
      <c r="BU623" s="47"/>
      <c r="BV623" s="47"/>
      <c r="BW623" s="47"/>
    </row>
    <row r="624" ht="21.0" customHeight="1">
      <c r="A624" s="43"/>
      <c r="B624" s="36" t="s">
        <v>572</v>
      </c>
      <c r="C624" s="26">
        <f>vlookup(B624,'재고 백업'!$A:$B,2,0)</f>
        <v>34</v>
      </c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  <c r="AG624" s="47"/>
      <c r="AH624" s="47"/>
      <c r="AI624" s="47"/>
      <c r="AJ624" s="47"/>
      <c r="AK624" s="47"/>
      <c r="AL624" s="47"/>
      <c r="AM624" s="47"/>
      <c r="AN624" s="47"/>
      <c r="AO624" s="47"/>
      <c r="AP624" s="47"/>
      <c r="AQ624" s="47"/>
      <c r="AR624" s="47"/>
      <c r="AS624" s="47"/>
      <c r="AT624" s="47"/>
      <c r="AU624" s="47"/>
      <c r="AV624" s="47"/>
      <c r="AW624" s="47"/>
      <c r="AX624" s="47"/>
      <c r="AY624" s="47"/>
      <c r="AZ624" s="47"/>
      <c r="BA624" s="47"/>
      <c r="BB624" s="47"/>
      <c r="BC624" s="47"/>
      <c r="BD624" s="47"/>
      <c r="BE624" s="47"/>
      <c r="BF624" s="47"/>
      <c r="BG624" s="47"/>
      <c r="BH624" s="47"/>
      <c r="BI624" s="47"/>
      <c r="BJ624" s="47"/>
      <c r="BK624" s="47"/>
      <c r="BL624" s="47"/>
      <c r="BM624" s="47"/>
      <c r="BN624" s="47"/>
      <c r="BO624" s="47"/>
      <c r="BP624" s="47"/>
      <c r="BQ624" s="47"/>
      <c r="BR624" s="47"/>
      <c r="BS624" s="47"/>
      <c r="BT624" s="47"/>
      <c r="BU624" s="47"/>
      <c r="BV624" s="47"/>
      <c r="BW624" s="47"/>
    </row>
    <row r="625" ht="21.0" customHeight="1">
      <c r="A625" s="43"/>
      <c r="B625" s="36" t="s">
        <v>573</v>
      </c>
      <c r="C625" s="26">
        <f>vlookup(B625,'재고 백업'!$A:$B,2,0)</f>
        <v>193</v>
      </c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  <c r="AG625" s="47"/>
      <c r="AH625" s="47"/>
      <c r="AI625" s="47"/>
      <c r="AJ625" s="47"/>
      <c r="AK625" s="47"/>
      <c r="AL625" s="47"/>
      <c r="AM625" s="47"/>
      <c r="AN625" s="47"/>
      <c r="AO625" s="47"/>
      <c r="AP625" s="47"/>
      <c r="AQ625" s="47"/>
      <c r="AR625" s="47"/>
      <c r="AS625" s="47"/>
      <c r="AT625" s="47"/>
      <c r="AU625" s="47"/>
      <c r="AV625" s="47"/>
      <c r="AW625" s="47"/>
      <c r="AX625" s="47"/>
      <c r="AY625" s="47"/>
      <c r="AZ625" s="47"/>
      <c r="BA625" s="47"/>
      <c r="BB625" s="47"/>
      <c r="BC625" s="47"/>
      <c r="BD625" s="47"/>
      <c r="BE625" s="47"/>
      <c r="BF625" s="47"/>
      <c r="BG625" s="47"/>
      <c r="BH625" s="47"/>
      <c r="BI625" s="47"/>
      <c r="BJ625" s="47"/>
      <c r="BK625" s="47"/>
      <c r="BL625" s="47"/>
      <c r="BM625" s="47"/>
      <c r="BN625" s="47"/>
      <c r="BO625" s="47"/>
      <c r="BP625" s="47"/>
      <c r="BQ625" s="47"/>
      <c r="BR625" s="47"/>
      <c r="BS625" s="47"/>
      <c r="BT625" s="47"/>
      <c r="BU625" s="47"/>
      <c r="BV625" s="47"/>
      <c r="BW625" s="47"/>
    </row>
    <row r="626" ht="21.0" customHeight="1">
      <c r="A626" s="12"/>
      <c r="B626" s="36" t="s">
        <v>574</v>
      </c>
      <c r="C626" s="26">
        <f>vlookup(B626,'재고 백업'!$A:$B,2,0)</f>
        <v>66</v>
      </c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  <c r="AG626" s="47"/>
      <c r="AH626" s="47"/>
      <c r="AI626" s="47"/>
      <c r="AJ626" s="47"/>
      <c r="AK626" s="47"/>
      <c r="AL626" s="47"/>
      <c r="AM626" s="47"/>
      <c r="AN626" s="47"/>
      <c r="AO626" s="47"/>
      <c r="AP626" s="47"/>
      <c r="AQ626" s="47"/>
      <c r="AR626" s="47"/>
      <c r="AS626" s="47"/>
      <c r="AT626" s="47"/>
      <c r="AU626" s="47"/>
      <c r="AV626" s="47"/>
      <c r="AW626" s="47"/>
      <c r="AX626" s="47"/>
      <c r="AY626" s="47"/>
      <c r="AZ626" s="47"/>
      <c r="BA626" s="47"/>
      <c r="BB626" s="47"/>
      <c r="BC626" s="47"/>
      <c r="BD626" s="47"/>
      <c r="BE626" s="47"/>
      <c r="BF626" s="47"/>
      <c r="BG626" s="47"/>
      <c r="BH626" s="47"/>
      <c r="BI626" s="47"/>
      <c r="BJ626" s="47"/>
      <c r="BK626" s="47"/>
      <c r="BL626" s="47"/>
      <c r="BM626" s="47"/>
      <c r="BN626" s="47"/>
      <c r="BO626" s="47"/>
      <c r="BP626" s="47"/>
      <c r="BQ626" s="47"/>
      <c r="BR626" s="47"/>
      <c r="BS626" s="47"/>
      <c r="BT626" s="47"/>
      <c r="BU626" s="47"/>
      <c r="BV626" s="47"/>
      <c r="BW626" s="47"/>
    </row>
    <row r="627" ht="21.0" customHeight="1">
      <c r="A627" s="12"/>
      <c r="B627" s="36" t="s">
        <v>575</v>
      </c>
      <c r="C627" s="26">
        <f>vlookup(B627,'재고 백업'!$A:$B,2,0)</f>
        <v>32</v>
      </c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  <c r="AG627" s="47"/>
      <c r="AH627" s="47"/>
      <c r="AI627" s="47"/>
      <c r="AJ627" s="47"/>
      <c r="AK627" s="47"/>
      <c r="AL627" s="47"/>
      <c r="AM627" s="47"/>
      <c r="AN627" s="47"/>
      <c r="AO627" s="47"/>
      <c r="AP627" s="47"/>
      <c r="AQ627" s="47"/>
      <c r="AR627" s="47"/>
      <c r="AS627" s="47"/>
      <c r="AT627" s="47"/>
      <c r="AU627" s="47"/>
      <c r="AV627" s="47"/>
      <c r="AW627" s="47"/>
      <c r="AX627" s="47"/>
      <c r="AY627" s="47"/>
      <c r="AZ627" s="47"/>
      <c r="BA627" s="47"/>
      <c r="BB627" s="47"/>
      <c r="BC627" s="47"/>
      <c r="BD627" s="47"/>
      <c r="BE627" s="47"/>
      <c r="BF627" s="47"/>
      <c r="BG627" s="47"/>
      <c r="BH627" s="47"/>
      <c r="BI627" s="47"/>
      <c r="BJ627" s="47"/>
      <c r="BK627" s="47"/>
      <c r="BL627" s="47"/>
      <c r="BM627" s="47"/>
      <c r="BN627" s="47"/>
      <c r="BO627" s="47"/>
      <c r="BP627" s="47"/>
      <c r="BQ627" s="47"/>
      <c r="BR627" s="47"/>
      <c r="BS627" s="47"/>
      <c r="BT627" s="47"/>
      <c r="BU627" s="47"/>
      <c r="BV627" s="47"/>
      <c r="BW627" s="47"/>
    </row>
    <row r="628" ht="21.0" customHeight="1">
      <c r="A628" s="12"/>
      <c r="B628" s="36" t="s">
        <v>576</v>
      </c>
      <c r="C628" s="26">
        <f>vlookup(B628,'재고 백업'!$A:$B,2,0)</f>
        <v>49</v>
      </c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  <c r="AG628" s="47"/>
      <c r="AH628" s="47"/>
      <c r="AI628" s="47"/>
      <c r="AJ628" s="47"/>
      <c r="AK628" s="47"/>
      <c r="AL628" s="47"/>
      <c r="AM628" s="47"/>
      <c r="AN628" s="47"/>
      <c r="AO628" s="47"/>
      <c r="AP628" s="47"/>
      <c r="AQ628" s="47"/>
      <c r="AR628" s="47"/>
      <c r="AS628" s="47"/>
      <c r="AT628" s="47"/>
      <c r="AU628" s="47"/>
      <c r="AV628" s="47"/>
      <c r="AW628" s="47"/>
      <c r="AX628" s="47"/>
      <c r="AY628" s="47"/>
      <c r="AZ628" s="47"/>
      <c r="BA628" s="47"/>
      <c r="BB628" s="47"/>
      <c r="BC628" s="47"/>
      <c r="BD628" s="47"/>
      <c r="BE628" s="47"/>
      <c r="BF628" s="47"/>
      <c r="BG628" s="47"/>
      <c r="BH628" s="47"/>
      <c r="BI628" s="47"/>
      <c r="BJ628" s="47"/>
      <c r="BK628" s="47"/>
      <c r="BL628" s="47"/>
      <c r="BM628" s="47"/>
      <c r="BN628" s="47"/>
      <c r="BO628" s="47"/>
      <c r="BP628" s="47"/>
      <c r="BQ628" s="47"/>
      <c r="BR628" s="47"/>
      <c r="BS628" s="47"/>
      <c r="BT628" s="47"/>
      <c r="BU628" s="47"/>
      <c r="BV628" s="47"/>
      <c r="BW628" s="47"/>
    </row>
    <row r="629" ht="21.0" customHeight="1">
      <c r="A629" s="12"/>
      <c r="B629" s="36" t="s">
        <v>577</v>
      </c>
      <c r="C629" s="26">
        <f>vlookup(B629,'재고 백업'!$A:$B,2,0)</f>
        <v>13</v>
      </c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  <c r="AG629" s="47"/>
      <c r="AH629" s="47"/>
      <c r="AI629" s="47"/>
      <c r="AJ629" s="47"/>
      <c r="AK629" s="47"/>
      <c r="AL629" s="47"/>
      <c r="AM629" s="47"/>
      <c r="AN629" s="47"/>
      <c r="AO629" s="47"/>
      <c r="AP629" s="47"/>
      <c r="AQ629" s="47"/>
      <c r="AR629" s="47"/>
      <c r="AS629" s="47"/>
      <c r="AT629" s="47"/>
      <c r="AU629" s="47"/>
      <c r="AV629" s="47"/>
      <c r="AW629" s="47"/>
      <c r="AX629" s="47"/>
      <c r="AY629" s="47"/>
      <c r="AZ629" s="47"/>
      <c r="BA629" s="47"/>
      <c r="BB629" s="47"/>
      <c r="BC629" s="47"/>
      <c r="BD629" s="47"/>
      <c r="BE629" s="47"/>
      <c r="BF629" s="47"/>
      <c r="BG629" s="47"/>
      <c r="BH629" s="47"/>
      <c r="BI629" s="47"/>
      <c r="BJ629" s="47"/>
      <c r="BK629" s="47"/>
      <c r="BL629" s="47"/>
      <c r="BM629" s="47"/>
      <c r="BN629" s="47"/>
      <c r="BO629" s="47"/>
      <c r="BP629" s="47"/>
      <c r="BQ629" s="47"/>
      <c r="BR629" s="47"/>
      <c r="BS629" s="47"/>
      <c r="BT629" s="47"/>
      <c r="BU629" s="47"/>
      <c r="BV629" s="47"/>
      <c r="BW629" s="47"/>
    </row>
    <row r="630" ht="21.0" customHeight="1">
      <c r="A630" s="12"/>
      <c r="B630" s="36" t="s">
        <v>578</v>
      </c>
      <c r="C630" s="26">
        <f>vlookup(B630,'재고 백업'!$A:$B,2,0)</f>
        <v>166</v>
      </c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  <c r="AG630" s="47"/>
      <c r="AH630" s="47"/>
      <c r="AI630" s="47"/>
      <c r="AJ630" s="47"/>
      <c r="AK630" s="47"/>
      <c r="AL630" s="47"/>
      <c r="AM630" s="47"/>
      <c r="AN630" s="47"/>
      <c r="AO630" s="47"/>
      <c r="AP630" s="47"/>
      <c r="AQ630" s="47"/>
      <c r="AR630" s="47"/>
      <c r="AS630" s="47"/>
      <c r="AT630" s="47"/>
      <c r="AU630" s="47"/>
      <c r="AV630" s="47"/>
      <c r="AW630" s="47"/>
      <c r="AX630" s="47"/>
      <c r="AY630" s="47"/>
      <c r="AZ630" s="47"/>
      <c r="BA630" s="47"/>
      <c r="BB630" s="47"/>
      <c r="BC630" s="47"/>
      <c r="BD630" s="47"/>
      <c r="BE630" s="47"/>
      <c r="BF630" s="47"/>
      <c r="BG630" s="47"/>
      <c r="BH630" s="47"/>
      <c r="BI630" s="47"/>
      <c r="BJ630" s="47"/>
      <c r="BK630" s="47"/>
      <c r="BL630" s="47"/>
      <c r="BM630" s="47"/>
      <c r="BN630" s="47"/>
      <c r="BO630" s="47"/>
      <c r="BP630" s="47"/>
      <c r="BQ630" s="47"/>
      <c r="BR630" s="47"/>
      <c r="BS630" s="47"/>
      <c r="BT630" s="47"/>
      <c r="BU630" s="47"/>
      <c r="BV630" s="47"/>
      <c r="BW630" s="47"/>
    </row>
    <row r="631" ht="21.0" customHeight="1">
      <c r="A631" s="12"/>
      <c r="B631" s="36" t="s">
        <v>579</v>
      </c>
      <c r="C631" s="26" t="str">
        <f>vlookup(B631,'재고 백업'!$A:$B,2,0)</f>
        <v>-</v>
      </c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  <c r="AG631" s="47"/>
      <c r="AH631" s="47"/>
      <c r="AI631" s="47"/>
      <c r="AJ631" s="47"/>
      <c r="AK631" s="47"/>
      <c r="AL631" s="47"/>
      <c r="AM631" s="47"/>
      <c r="AN631" s="47"/>
      <c r="AO631" s="47"/>
      <c r="AP631" s="47"/>
      <c r="AQ631" s="47"/>
      <c r="AR631" s="47"/>
      <c r="AS631" s="47"/>
      <c r="AT631" s="47"/>
      <c r="AU631" s="47"/>
      <c r="AV631" s="47"/>
      <c r="AW631" s="47"/>
      <c r="AX631" s="47"/>
      <c r="AY631" s="47"/>
      <c r="AZ631" s="47"/>
      <c r="BA631" s="47"/>
      <c r="BB631" s="47"/>
      <c r="BC631" s="47"/>
      <c r="BD631" s="47"/>
      <c r="BE631" s="47"/>
      <c r="BF631" s="47"/>
      <c r="BG631" s="47"/>
      <c r="BH631" s="47"/>
      <c r="BI631" s="47"/>
      <c r="BJ631" s="47"/>
      <c r="BK631" s="47"/>
      <c r="BL631" s="47"/>
      <c r="BM631" s="47"/>
      <c r="BN631" s="47"/>
      <c r="BO631" s="47"/>
      <c r="BP631" s="47"/>
      <c r="BQ631" s="47"/>
      <c r="BR631" s="47"/>
      <c r="BS631" s="47"/>
      <c r="BT631" s="47"/>
      <c r="BU631" s="47"/>
      <c r="BV631" s="47"/>
      <c r="BW631" s="47"/>
    </row>
    <row r="632" ht="21.0" customHeight="1">
      <c r="A632" s="12"/>
      <c r="B632" s="36" t="s">
        <v>580</v>
      </c>
      <c r="C632" s="26">
        <f>vlookup(B632,'재고 백업'!$A:$B,2,0)</f>
        <v>57</v>
      </c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  <c r="AG632" s="47"/>
      <c r="AH632" s="47"/>
      <c r="AI632" s="47"/>
      <c r="AJ632" s="47"/>
      <c r="AK632" s="47"/>
      <c r="AL632" s="47"/>
      <c r="AM632" s="47"/>
      <c r="AN632" s="47"/>
      <c r="AO632" s="47"/>
      <c r="AP632" s="47"/>
      <c r="AQ632" s="47"/>
      <c r="AR632" s="47"/>
      <c r="AS632" s="47"/>
      <c r="AT632" s="47"/>
      <c r="AU632" s="47"/>
      <c r="AV632" s="47"/>
      <c r="AW632" s="47"/>
      <c r="AX632" s="47"/>
      <c r="AY632" s="47"/>
      <c r="AZ632" s="47"/>
      <c r="BA632" s="47"/>
      <c r="BB632" s="47"/>
      <c r="BC632" s="47"/>
      <c r="BD632" s="47"/>
      <c r="BE632" s="47"/>
      <c r="BF632" s="47"/>
      <c r="BG632" s="47"/>
      <c r="BH632" s="47"/>
      <c r="BI632" s="47"/>
      <c r="BJ632" s="47"/>
      <c r="BK632" s="47"/>
      <c r="BL632" s="47"/>
      <c r="BM632" s="47"/>
      <c r="BN632" s="47"/>
      <c r="BO632" s="47"/>
      <c r="BP632" s="47"/>
      <c r="BQ632" s="47"/>
      <c r="BR632" s="47"/>
      <c r="BS632" s="47"/>
      <c r="BT632" s="47"/>
      <c r="BU632" s="47"/>
      <c r="BV632" s="47"/>
      <c r="BW632" s="47"/>
    </row>
    <row r="633" ht="21.0" customHeight="1">
      <c r="A633" s="12"/>
      <c r="B633" s="36" t="s">
        <v>581</v>
      </c>
      <c r="C633" s="26">
        <f>vlookup(B633,'재고 백업'!$A:$B,2,0)</f>
        <v>197</v>
      </c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  <c r="AG633" s="47"/>
      <c r="AH633" s="47"/>
      <c r="AI633" s="47"/>
      <c r="AJ633" s="47"/>
      <c r="AK633" s="47"/>
      <c r="AL633" s="47"/>
      <c r="AM633" s="47"/>
      <c r="AN633" s="47"/>
      <c r="AO633" s="47"/>
      <c r="AP633" s="47"/>
      <c r="AQ633" s="47"/>
      <c r="AR633" s="47"/>
      <c r="AS633" s="47"/>
      <c r="AT633" s="47"/>
      <c r="AU633" s="47"/>
      <c r="AV633" s="47"/>
      <c r="AW633" s="47"/>
      <c r="AX633" s="47"/>
      <c r="AY633" s="47"/>
      <c r="AZ633" s="47"/>
      <c r="BA633" s="47"/>
      <c r="BB633" s="47"/>
      <c r="BC633" s="47"/>
      <c r="BD633" s="47"/>
      <c r="BE633" s="47"/>
      <c r="BF633" s="47"/>
      <c r="BG633" s="47"/>
      <c r="BH633" s="47"/>
      <c r="BI633" s="47"/>
      <c r="BJ633" s="47"/>
      <c r="BK633" s="47"/>
      <c r="BL633" s="47"/>
      <c r="BM633" s="47"/>
      <c r="BN633" s="47"/>
      <c r="BO633" s="47"/>
      <c r="BP633" s="47"/>
      <c r="BQ633" s="47"/>
      <c r="BR633" s="47"/>
      <c r="BS633" s="47"/>
      <c r="BT633" s="47"/>
      <c r="BU633" s="47"/>
      <c r="BV633" s="47"/>
      <c r="BW633" s="47"/>
    </row>
    <row r="634" ht="21.0" customHeight="1">
      <c r="A634" s="12"/>
      <c r="B634" s="36" t="s">
        <v>582</v>
      </c>
      <c r="C634" s="26" t="str">
        <f>vlookup(B634,'재고 백업'!$A:$B,2,0)</f>
        <v>-</v>
      </c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  <c r="BI634" s="25"/>
      <c r="BJ634" s="25"/>
      <c r="BK634" s="25"/>
      <c r="BL634" s="25"/>
      <c r="BM634" s="25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</row>
    <row r="635" ht="21.0" customHeight="1">
      <c r="A635" s="12"/>
      <c r="B635" s="36" t="s">
        <v>583</v>
      </c>
      <c r="C635" s="26">
        <f>vlookup(B635,'재고 백업'!$A:$B,2,0)</f>
        <v>94</v>
      </c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  <c r="BI635" s="25"/>
      <c r="BJ635" s="25"/>
      <c r="BK635" s="25"/>
      <c r="BL635" s="25"/>
      <c r="BM635" s="25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</row>
    <row r="636" ht="21.0" customHeight="1">
      <c r="A636" s="12"/>
      <c r="B636" s="36" t="s">
        <v>584</v>
      </c>
      <c r="C636" s="26">
        <f>vlookup(B636,'재고 백업'!$A:$B,2,0)</f>
        <v>142</v>
      </c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  <c r="BI636" s="25"/>
      <c r="BJ636" s="25"/>
      <c r="BK636" s="25"/>
      <c r="BL636" s="25"/>
      <c r="BM636" s="25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</row>
    <row r="637" ht="21.0" customHeight="1">
      <c r="A637" s="12"/>
      <c r="B637" s="36" t="s">
        <v>585</v>
      </c>
      <c r="C637" s="26">
        <f>vlookup(B637,'재고 백업'!$A:$B,2,0)</f>
        <v>129</v>
      </c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  <c r="BI637" s="25"/>
      <c r="BJ637" s="25"/>
      <c r="BK637" s="25"/>
      <c r="BL637" s="25"/>
      <c r="BM637" s="25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</row>
    <row r="638" ht="21.0" customHeight="1">
      <c r="A638" s="12"/>
      <c r="B638" s="36" t="s">
        <v>586</v>
      </c>
      <c r="C638" s="26">
        <f>vlookup(B638,'재고 백업'!$A:$B,2,0)</f>
        <v>16</v>
      </c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  <c r="BI638" s="25"/>
      <c r="BJ638" s="25"/>
      <c r="BK638" s="25"/>
      <c r="BL638" s="25"/>
      <c r="BM638" s="25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</row>
    <row r="639" ht="21.0" customHeight="1">
      <c r="A639" s="12"/>
      <c r="B639" s="36" t="s">
        <v>587</v>
      </c>
      <c r="C639" s="26">
        <f>vlookup(B639,'재고 백업'!$A:$B,2,0)</f>
        <v>20</v>
      </c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  <c r="AQ639" s="44"/>
      <c r="AR639" s="44"/>
      <c r="AS639" s="44"/>
      <c r="AT639" s="44"/>
      <c r="AU639" s="44"/>
      <c r="AV639" s="44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44"/>
      <c r="BP639" s="44"/>
      <c r="BQ639" s="44"/>
      <c r="BR639" s="44"/>
      <c r="BS639" s="44"/>
      <c r="BT639" s="44"/>
      <c r="BU639" s="44"/>
      <c r="BV639" s="44"/>
      <c r="BW639" s="44"/>
    </row>
    <row r="640" ht="21.0" customHeight="1">
      <c r="A640" s="12"/>
      <c r="B640" s="36" t="s">
        <v>588</v>
      </c>
      <c r="C640" s="26">
        <f>vlookup(B640,'재고 백업'!$A:$B,2,0)</f>
        <v>2</v>
      </c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  <c r="AQ640" s="44"/>
      <c r="AR640" s="44"/>
      <c r="AS640" s="44"/>
      <c r="AT640" s="44"/>
      <c r="AU640" s="44"/>
      <c r="AV640" s="44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44"/>
      <c r="BP640" s="44"/>
      <c r="BQ640" s="44"/>
      <c r="BR640" s="44"/>
      <c r="BS640" s="44"/>
      <c r="BT640" s="44"/>
      <c r="BU640" s="44"/>
      <c r="BV640" s="44"/>
      <c r="BW640" s="44"/>
    </row>
    <row r="641" ht="21.0" customHeight="1">
      <c r="A641" s="12"/>
      <c r="B641" s="36" t="s">
        <v>589</v>
      </c>
      <c r="C641" s="26">
        <f>vlookup(B641,'재고 백업'!$A:$B,2,0)</f>
        <v>9</v>
      </c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  <c r="AQ641" s="44"/>
      <c r="AR641" s="44"/>
      <c r="AS641" s="44"/>
      <c r="AT641" s="44"/>
      <c r="AU641" s="44"/>
      <c r="AV641" s="44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44"/>
      <c r="BP641" s="44"/>
      <c r="BQ641" s="44"/>
      <c r="BR641" s="44"/>
      <c r="BS641" s="44"/>
      <c r="BT641" s="44"/>
      <c r="BU641" s="44"/>
      <c r="BV641" s="44"/>
      <c r="BW641" s="44"/>
    </row>
    <row r="642" ht="21.0" customHeight="1">
      <c r="A642" s="12"/>
      <c r="B642" s="36" t="s">
        <v>590</v>
      </c>
      <c r="C642" s="26">
        <f>vlookup(B642,'재고 백업'!$A:$B,2,0)</f>
        <v>55</v>
      </c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  <c r="AQ642" s="44"/>
      <c r="AR642" s="44"/>
      <c r="AS642" s="44"/>
      <c r="AT642" s="44"/>
      <c r="AU642" s="44"/>
      <c r="AV642" s="44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44"/>
      <c r="BP642" s="44"/>
      <c r="BQ642" s="44"/>
      <c r="BR642" s="44"/>
      <c r="BS642" s="44"/>
      <c r="BT642" s="44"/>
      <c r="BU642" s="44"/>
      <c r="BV642" s="44"/>
      <c r="BW642" s="44"/>
    </row>
    <row r="643" ht="21.0" customHeight="1">
      <c r="A643" s="12"/>
      <c r="B643" s="36" t="s">
        <v>591</v>
      </c>
      <c r="C643" s="26">
        <f>vlookup(B643,'재고 백업'!$A:$B,2,0)</f>
        <v>55</v>
      </c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  <c r="AQ643" s="44"/>
      <c r="AR643" s="44"/>
      <c r="AS643" s="44"/>
      <c r="AT643" s="44"/>
      <c r="AU643" s="44"/>
      <c r="AV643" s="44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44"/>
      <c r="BP643" s="44"/>
      <c r="BQ643" s="44"/>
      <c r="BR643" s="44"/>
      <c r="BS643" s="44"/>
      <c r="BT643" s="44"/>
      <c r="BU643" s="44"/>
      <c r="BV643" s="44"/>
      <c r="BW643" s="44"/>
    </row>
    <row r="644" ht="21.0" customHeight="1">
      <c r="A644" s="12"/>
      <c r="B644" s="36" t="s">
        <v>592</v>
      </c>
      <c r="C644" s="26">
        <f>vlookup(B644,'재고 백업'!$A:$B,2,0)</f>
        <v>23</v>
      </c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  <c r="AQ644" s="44"/>
      <c r="AR644" s="44"/>
      <c r="AS644" s="44"/>
      <c r="AT644" s="44"/>
      <c r="AU644" s="44"/>
      <c r="AV644" s="44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44"/>
      <c r="BP644" s="44"/>
      <c r="BQ644" s="44"/>
      <c r="BR644" s="44"/>
      <c r="BS644" s="44"/>
      <c r="BT644" s="44"/>
      <c r="BU644" s="44"/>
      <c r="BV644" s="44"/>
      <c r="BW644" s="44"/>
    </row>
    <row r="645" ht="21.0" customHeight="1">
      <c r="A645" s="12"/>
      <c r="B645" s="36" t="s">
        <v>593</v>
      </c>
      <c r="C645" s="26">
        <f>vlookup(B645,'재고 백업'!$A:$B,2,0)</f>
        <v>1</v>
      </c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  <c r="AQ645" s="44"/>
      <c r="AR645" s="44"/>
      <c r="AS645" s="44"/>
      <c r="AT645" s="44"/>
      <c r="AU645" s="44"/>
      <c r="AV645" s="44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44"/>
      <c r="BP645" s="44"/>
      <c r="BQ645" s="44"/>
      <c r="BR645" s="44"/>
      <c r="BS645" s="44"/>
      <c r="BT645" s="44"/>
      <c r="BU645" s="44"/>
      <c r="BV645" s="44"/>
      <c r="BW645" s="44"/>
    </row>
    <row r="646" ht="21.0" customHeight="1">
      <c r="A646" s="12"/>
      <c r="B646" s="36" t="s">
        <v>594</v>
      </c>
      <c r="C646" s="26">
        <f>vlookup(B646,'재고 백업'!$A:$B,2,0)</f>
        <v>19</v>
      </c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  <c r="AQ646" s="44"/>
      <c r="AR646" s="44"/>
      <c r="AS646" s="44"/>
      <c r="AT646" s="44"/>
      <c r="AU646" s="44"/>
      <c r="AV646" s="44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44"/>
      <c r="BP646" s="44"/>
      <c r="BQ646" s="44"/>
      <c r="BR646" s="44"/>
      <c r="BS646" s="44"/>
      <c r="BT646" s="44"/>
      <c r="BU646" s="44"/>
      <c r="BV646" s="44"/>
      <c r="BW646" s="44"/>
    </row>
    <row r="647" ht="21.0" customHeight="1">
      <c r="A647" s="12"/>
      <c r="B647" s="36" t="s">
        <v>595</v>
      </c>
      <c r="C647" s="26">
        <f>vlookup(B647,'재고 백업'!$A:$B,2,0)</f>
        <v>7</v>
      </c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  <c r="AQ647" s="44"/>
      <c r="AR647" s="44"/>
      <c r="AS647" s="44"/>
      <c r="AT647" s="44"/>
      <c r="AU647" s="44"/>
      <c r="AV647" s="44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44"/>
      <c r="BP647" s="44"/>
      <c r="BQ647" s="44"/>
      <c r="BR647" s="44"/>
      <c r="BS647" s="44"/>
      <c r="BT647" s="44"/>
      <c r="BU647" s="44"/>
      <c r="BV647" s="44"/>
      <c r="BW647" s="44"/>
    </row>
    <row r="648" ht="21.0" customHeight="1">
      <c r="A648" s="12"/>
      <c r="B648" s="36" t="s">
        <v>596</v>
      </c>
      <c r="C648" s="26">
        <f>vlookup(B648,'재고 백업'!$A:$B,2,0)</f>
        <v>1</v>
      </c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  <c r="AQ648" s="44"/>
      <c r="AR648" s="44"/>
      <c r="AS648" s="44"/>
      <c r="AT648" s="44"/>
      <c r="AU648" s="44"/>
      <c r="AV648" s="44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44"/>
      <c r="BP648" s="44"/>
      <c r="BQ648" s="44"/>
      <c r="BR648" s="44"/>
      <c r="BS648" s="44"/>
      <c r="BT648" s="44"/>
      <c r="BU648" s="44"/>
      <c r="BV648" s="44"/>
      <c r="BW648" s="44"/>
    </row>
    <row r="649" ht="21.0" customHeight="1">
      <c r="A649" s="12"/>
      <c r="B649" s="36" t="s">
        <v>597</v>
      </c>
      <c r="C649" s="26">
        <f>vlookup(B649,'재고 백업'!$A:$B,2,0)</f>
        <v>4</v>
      </c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  <c r="AQ649" s="44"/>
      <c r="AR649" s="44"/>
      <c r="AS649" s="44"/>
      <c r="AT649" s="44"/>
      <c r="AU649" s="44"/>
      <c r="AV649" s="44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44"/>
      <c r="BP649" s="44"/>
      <c r="BQ649" s="44"/>
      <c r="BR649" s="44"/>
      <c r="BS649" s="44"/>
      <c r="BT649" s="44"/>
      <c r="BU649" s="44"/>
      <c r="BV649" s="44"/>
      <c r="BW649" s="44"/>
    </row>
    <row r="650" ht="21.0" customHeight="1">
      <c r="A650" s="12"/>
      <c r="B650" s="36" t="s">
        <v>598</v>
      </c>
      <c r="C650" s="26">
        <f>vlookup(B650,'재고 백업'!$A:$B,2,0)</f>
        <v>9</v>
      </c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  <c r="AQ650" s="44"/>
      <c r="AR650" s="44"/>
      <c r="AS650" s="44"/>
      <c r="AT650" s="44"/>
      <c r="AU650" s="44"/>
      <c r="AV650" s="44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44"/>
      <c r="BP650" s="44"/>
      <c r="BQ650" s="44"/>
      <c r="BR650" s="44"/>
      <c r="BS650" s="44"/>
      <c r="BT650" s="44"/>
      <c r="BU650" s="44"/>
      <c r="BV650" s="44"/>
      <c r="BW650" s="44"/>
    </row>
    <row r="651" ht="21.0" customHeight="1">
      <c r="A651" s="12"/>
      <c r="B651" s="36" t="s">
        <v>599</v>
      </c>
      <c r="C651" s="26">
        <f>vlookup(B651,'재고 백업'!$A:$B,2,0)</f>
        <v>41</v>
      </c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  <c r="AQ651" s="44"/>
      <c r="AR651" s="44"/>
      <c r="AS651" s="44"/>
      <c r="AT651" s="44"/>
      <c r="AU651" s="44"/>
      <c r="AV651" s="44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44"/>
      <c r="BP651" s="44"/>
      <c r="BQ651" s="44"/>
      <c r="BR651" s="44"/>
      <c r="BS651" s="44"/>
      <c r="BT651" s="44"/>
      <c r="BU651" s="44"/>
      <c r="BV651" s="44"/>
      <c r="BW651" s="44"/>
    </row>
    <row r="652" ht="21.0" customHeight="1">
      <c r="A652" s="12"/>
      <c r="B652" s="36" t="s">
        <v>600</v>
      </c>
      <c r="C652" s="26">
        <f>vlookup(B652,'재고 백업'!$A:$B,2,0)</f>
        <v>10</v>
      </c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</row>
    <row r="653" ht="21.0" customHeight="1">
      <c r="A653" s="12"/>
      <c r="B653" s="36" t="s">
        <v>601</v>
      </c>
      <c r="C653" s="26">
        <f>vlookup(B653,'재고 백업'!$A:$B,2,0)</f>
        <v>16</v>
      </c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  <c r="AQ653" s="44"/>
      <c r="AR653" s="44"/>
      <c r="AS653" s="44"/>
      <c r="AT653" s="44"/>
      <c r="AU653" s="44"/>
      <c r="AV653" s="44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44"/>
      <c r="BP653" s="44"/>
      <c r="BQ653" s="44"/>
      <c r="BR653" s="44"/>
      <c r="BS653" s="44"/>
      <c r="BT653" s="44"/>
      <c r="BU653" s="44"/>
      <c r="BV653" s="44"/>
      <c r="BW653" s="44"/>
    </row>
    <row r="654" ht="21.0" customHeight="1">
      <c r="A654" s="12"/>
      <c r="B654" s="36" t="s">
        <v>602</v>
      </c>
      <c r="C654" s="26">
        <f>vlookup(B654,'재고 백업'!$A:$B,2,0)</f>
        <v>13</v>
      </c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  <c r="AQ654" s="44"/>
      <c r="AR654" s="44"/>
      <c r="AS654" s="44"/>
      <c r="AT654" s="44"/>
      <c r="AU654" s="44"/>
      <c r="AV654" s="44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44"/>
      <c r="BP654" s="44"/>
      <c r="BQ654" s="44"/>
      <c r="BR654" s="44"/>
      <c r="BS654" s="44"/>
      <c r="BT654" s="44"/>
      <c r="BU654" s="44"/>
      <c r="BV654" s="44"/>
      <c r="BW654" s="44"/>
    </row>
    <row r="655" ht="21.0" customHeight="1">
      <c r="A655" s="12"/>
      <c r="B655" s="36" t="s">
        <v>603</v>
      </c>
      <c r="C655" s="26">
        <f>vlookup(B655,'재고 백업'!$A:$B,2,0)</f>
        <v>8</v>
      </c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  <c r="AQ655" s="44"/>
      <c r="AR655" s="44"/>
      <c r="AS655" s="44"/>
      <c r="AT655" s="44"/>
      <c r="AU655" s="44"/>
      <c r="AV655" s="44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44"/>
      <c r="BP655" s="44"/>
      <c r="BQ655" s="44"/>
      <c r="BR655" s="44"/>
      <c r="BS655" s="44"/>
      <c r="BT655" s="44"/>
      <c r="BU655" s="44"/>
      <c r="BV655" s="44"/>
      <c r="BW655" s="44"/>
    </row>
    <row r="656" ht="21.0" customHeight="1">
      <c r="A656" s="12"/>
      <c r="B656" s="36" t="s">
        <v>604</v>
      </c>
      <c r="C656" s="26">
        <f>vlookup(B656,'재고 백업'!$A:$B,2,0)</f>
        <v>12</v>
      </c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  <c r="AQ656" s="44"/>
      <c r="AR656" s="44"/>
      <c r="AS656" s="44"/>
      <c r="AT656" s="44"/>
      <c r="AU656" s="44"/>
      <c r="AV656" s="44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44"/>
      <c r="BP656" s="44"/>
      <c r="BQ656" s="44"/>
      <c r="BR656" s="44"/>
      <c r="BS656" s="44"/>
      <c r="BT656" s="44"/>
      <c r="BU656" s="44"/>
      <c r="BV656" s="44"/>
      <c r="BW656" s="44"/>
    </row>
    <row r="657" ht="21.0" customHeight="1">
      <c r="A657" s="12"/>
      <c r="B657" s="36" t="s">
        <v>605</v>
      </c>
      <c r="C657" s="26">
        <f>vlookup(B657,'재고 백업'!$A:$B,2,0)</f>
        <v>2</v>
      </c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  <c r="AQ657" s="44"/>
      <c r="AR657" s="44"/>
      <c r="AS657" s="44"/>
      <c r="AT657" s="44"/>
      <c r="AU657" s="44"/>
      <c r="AV657" s="44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44"/>
      <c r="BP657" s="44"/>
      <c r="BQ657" s="44"/>
      <c r="BR657" s="44"/>
      <c r="BS657" s="44"/>
      <c r="BT657" s="44"/>
      <c r="BU657" s="44"/>
      <c r="BV657" s="44"/>
      <c r="BW657" s="44"/>
    </row>
    <row r="658" ht="21.0" customHeight="1">
      <c r="A658" s="12"/>
      <c r="B658" s="36" t="s">
        <v>606</v>
      </c>
      <c r="C658" s="26">
        <f>vlookup(B658,'재고 백업'!$A:$B,2,0)</f>
        <v>4</v>
      </c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  <c r="AQ658" s="44"/>
      <c r="AR658" s="44"/>
      <c r="AS658" s="44"/>
      <c r="AT658" s="44"/>
      <c r="AU658" s="44"/>
      <c r="AV658" s="44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44"/>
      <c r="BP658" s="44"/>
      <c r="BQ658" s="44"/>
      <c r="BR658" s="44"/>
      <c r="BS658" s="44"/>
      <c r="BT658" s="44"/>
      <c r="BU658" s="44"/>
      <c r="BV658" s="44"/>
      <c r="BW658" s="44"/>
    </row>
    <row r="659" ht="21.0" customHeight="1">
      <c r="A659" s="43"/>
      <c r="B659" s="33"/>
      <c r="C659" s="33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</row>
    <row r="660" ht="21.0" customHeight="1">
      <c r="A660" s="43"/>
      <c r="B660" s="18" t="s">
        <v>607</v>
      </c>
      <c r="C660" s="18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  <c r="BI660" s="25"/>
      <c r="BJ660" s="25"/>
      <c r="BK660" s="25"/>
      <c r="BL660" s="25"/>
      <c r="BM660" s="25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</row>
    <row r="661" ht="21.0" customHeight="1">
      <c r="A661" s="43"/>
      <c r="B661" s="36" t="s">
        <v>608</v>
      </c>
      <c r="C661" s="26" t="str">
        <f>vlookup(B661,'재고 백업'!$A:$B,2,0)</f>
        <v>-</v>
      </c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  <c r="BI661" s="25"/>
      <c r="BJ661" s="25"/>
      <c r="BK661" s="25"/>
      <c r="BL661" s="25"/>
      <c r="BM661" s="25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</row>
    <row r="662" ht="21.0" customHeight="1">
      <c r="A662" s="43"/>
      <c r="B662" s="33"/>
      <c r="C662" s="33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  <c r="BI662" s="25"/>
      <c r="BJ662" s="25"/>
      <c r="BK662" s="25"/>
      <c r="BL662" s="25"/>
      <c r="BM662" s="25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</row>
    <row r="663" ht="21.0" customHeight="1">
      <c r="A663" s="43"/>
      <c r="B663" s="32" t="s">
        <v>609</v>
      </c>
      <c r="C663" s="32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  <c r="BI663" s="25"/>
      <c r="BJ663" s="25"/>
      <c r="BK663" s="25"/>
      <c r="BL663" s="25"/>
      <c r="BM663" s="25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</row>
    <row r="664" ht="21.0" customHeight="1">
      <c r="A664" s="43"/>
      <c r="B664" s="36" t="s">
        <v>610</v>
      </c>
      <c r="C664" s="26">
        <f>vlookup(B664,'재고 백업'!$A:$B,2,0)</f>
        <v>118</v>
      </c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  <c r="BI664" s="25"/>
      <c r="BJ664" s="25"/>
      <c r="BK664" s="25"/>
      <c r="BL664" s="25"/>
      <c r="BM664" s="25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</row>
    <row r="665" ht="21.0" customHeight="1">
      <c r="A665" s="43"/>
      <c r="B665" s="36" t="s">
        <v>611</v>
      </c>
      <c r="C665" s="26">
        <f>vlookup(B665,'재고 백업'!$A:$B,2,0)</f>
        <v>48</v>
      </c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  <c r="BI665" s="25"/>
      <c r="BJ665" s="25"/>
      <c r="BK665" s="25"/>
      <c r="BL665" s="25"/>
      <c r="BM665" s="25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</row>
    <row r="666" ht="21.0" customHeight="1">
      <c r="A666" s="43"/>
      <c r="B666" s="36" t="s">
        <v>612</v>
      </c>
      <c r="C666" s="26">
        <f>vlookup(B666,'재고 백업'!$A:$B,2,0)</f>
        <v>38</v>
      </c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  <c r="BI666" s="25"/>
      <c r="BJ666" s="25"/>
      <c r="BK666" s="25"/>
      <c r="BL666" s="25"/>
      <c r="BM666" s="25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</row>
    <row r="667" ht="21.0" customHeight="1">
      <c r="A667" s="43"/>
      <c r="B667" s="36" t="s">
        <v>613</v>
      </c>
      <c r="C667" s="26">
        <f>vlookup(B667,'재고 백업'!$A:$B,2,0)</f>
        <v>18</v>
      </c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  <c r="BI667" s="25"/>
      <c r="BJ667" s="25"/>
      <c r="BK667" s="25"/>
      <c r="BL667" s="25"/>
      <c r="BM667" s="25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</row>
    <row r="668" ht="21.0" customHeight="1">
      <c r="A668" s="43"/>
      <c r="B668" s="36" t="s">
        <v>614</v>
      </c>
      <c r="C668" s="26">
        <f>vlookup(B668,'재고 백업'!$A:$B,2,0)</f>
        <v>129</v>
      </c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  <c r="BI668" s="25"/>
      <c r="BJ668" s="25"/>
      <c r="BK668" s="25"/>
      <c r="BL668" s="25"/>
      <c r="BM668" s="25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</row>
    <row r="669" ht="21.0" customHeight="1">
      <c r="A669" s="43"/>
      <c r="B669" s="36" t="s">
        <v>615</v>
      </c>
      <c r="C669" s="26">
        <f>vlookup(B669,'재고 백업'!$A:$B,2,0)</f>
        <v>21</v>
      </c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  <c r="BI669" s="25"/>
      <c r="BJ669" s="25"/>
      <c r="BK669" s="25"/>
      <c r="BL669" s="25"/>
      <c r="BM669" s="25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</row>
    <row r="670" ht="21.0" customHeight="1">
      <c r="A670" s="43"/>
      <c r="B670" s="36" t="s">
        <v>616</v>
      </c>
      <c r="C670" s="26">
        <f>vlookup(B670,'재고 백업'!$A:$B,2,0)</f>
        <v>68</v>
      </c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  <c r="BI670" s="25"/>
      <c r="BJ670" s="25"/>
      <c r="BK670" s="25"/>
      <c r="BL670" s="25"/>
      <c r="BM670" s="25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</row>
    <row r="671" ht="21.0" customHeight="1">
      <c r="A671" s="43"/>
      <c r="B671" s="36" t="s">
        <v>617</v>
      </c>
      <c r="C671" s="26">
        <f>vlookup(B671,'재고 백업'!$A:$B,2,0)</f>
        <v>98</v>
      </c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  <c r="BI671" s="25"/>
      <c r="BJ671" s="25"/>
      <c r="BK671" s="25"/>
      <c r="BL671" s="25"/>
      <c r="BM671" s="25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</row>
    <row r="672" ht="21.0" customHeight="1">
      <c r="A672" s="43"/>
      <c r="B672" s="36" t="s">
        <v>618</v>
      </c>
      <c r="C672" s="26">
        <f>vlookup(B672,'재고 백업'!$A:$B,2,0)</f>
        <v>5</v>
      </c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  <c r="BI672" s="25"/>
      <c r="BJ672" s="25"/>
      <c r="BK672" s="25"/>
      <c r="BL672" s="25"/>
      <c r="BM672" s="25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</row>
    <row r="673" ht="21.0" customHeight="1">
      <c r="A673" s="43"/>
      <c r="B673" s="36" t="s">
        <v>619</v>
      </c>
      <c r="C673" s="26">
        <f>vlookup(B673,'재고 백업'!$A:$B,2,0)</f>
        <v>31</v>
      </c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  <c r="BI673" s="25"/>
      <c r="BJ673" s="25"/>
      <c r="BK673" s="25"/>
      <c r="BL673" s="25"/>
      <c r="BM673" s="25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</row>
    <row r="674" ht="21.0" customHeight="1">
      <c r="A674" s="43"/>
      <c r="B674" s="36" t="s">
        <v>620</v>
      </c>
      <c r="C674" s="26">
        <f>vlookup(B674,'재고 백업'!$A:$B,2,0)</f>
        <v>156</v>
      </c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  <c r="BI674" s="25"/>
      <c r="BJ674" s="25"/>
      <c r="BK674" s="25"/>
      <c r="BL674" s="25"/>
      <c r="BM674" s="25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</row>
    <row r="675" ht="21.0" customHeight="1">
      <c r="A675" s="43"/>
      <c r="B675" s="33"/>
      <c r="C675" s="33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  <c r="BI675" s="25"/>
      <c r="BJ675" s="25"/>
      <c r="BK675" s="25"/>
      <c r="BL675" s="25"/>
      <c r="BM675" s="25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</row>
    <row r="676" ht="21.0" customHeight="1">
      <c r="A676" s="43"/>
      <c r="B676" s="18" t="s">
        <v>621</v>
      </c>
      <c r="C676" s="18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  <c r="BI676" s="25"/>
      <c r="BJ676" s="25"/>
      <c r="BK676" s="25"/>
      <c r="BL676" s="25"/>
      <c r="BM676" s="25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</row>
    <row r="677" ht="21.0" customHeight="1">
      <c r="A677" s="43"/>
      <c r="B677" s="36" t="s">
        <v>622</v>
      </c>
      <c r="C677" s="26" t="str">
        <f>vlookup(B677,'재고 백업'!$A:$B,2,0)</f>
        <v>-</v>
      </c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  <c r="BI677" s="25"/>
      <c r="BJ677" s="25"/>
      <c r="BK677" s="25"/>
      <c r="BL677" s="25"/>
      <c r="BM677" s="25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</row>
    <row r="678" ht="21.0" customHeight="1">
      <c r="A678" s="43"/>
      <c r="B678" s="36" t="s">
        <v>623</v>
      </c>
      <c r="C678" s="26" t="str">
        <f>vlookup(B678,'재고 백업'!$A:$B,2,0)</f>
        <v>-</v>
      </c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  <c r="BI678" s="25"/>
      <c r="BJ678" s="25"/>
      <c r="BK678" s="25"/>
      <c r="BL678" s="25"/>
      <c r="BM678" s="25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</row>
    <row r="679" ht="21.0" customHeight="1">
      <c r="A679" s="43"/>
      <c r="B679" s="33"/>
      <c r="C679" s="33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  <c r="BI679" s="25"/>
      <c r="BJ679" s="25"/>
      <c r="BK679" s="25"/>
      <c r="BL679" s="25"/>
      <c r="BM679" s="25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</row>
    <row r="680" ht="21.0" customHeight="1">
      <c r="A680" s="43"/>
      <c r="B680" s="18" t="s">
        <v>624</v>
      </c>
      <c r="C680" s="18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  <c r="BI680" s="25"/>
      <c r="BJ680" s="25"/>
      <c r="BK680" s="25"/>
      <c r="BL680" s="25"/>
      <c r="BM680" s="25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</row>
    <row r="681" ht="21.0" customHeight="1">
      <c r="A681" s="43"/>
      <c r="B681" s="36" t="s">
        <v>625</v>
      </c>
      <c r="C681" s="26">
        <f>vlookup(B681,'재고 백업'!$A:$B,2,0)</f>
        <v>100</v>
      </c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  <c r="BI681" s="25"/>
      <c r="BJ681" s="25"/>
      <c r="BK681" s="25"/>
      <c r="BL681" s="25"/>
      <c r="BM681" s="25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</row>
    <row r="682" ht="21.0" customHeight="1">
      <c r="A682" s="43"/>
      <c r="B682" s="33"/>
      <c r="C682" s="33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  <c r="BI682" s="25"/>
      <c r="BJ682" s="25"/>
      <c r="BK682" s="25"/>
      <c r="BL682" s="25"/>
      <c r="BM682" s="25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</row>
    <row r="683" ht="21.0" customHeight="1">
      <c r="A683" s="43"/>
      <c r="B683" s="18" t="s">
        <v>626</v>
      </c>
      <c r="C683" s="18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  <c r="BI683" s="25"/>
      <c r="BJ683" s="25"/>
      <c r="BK683" s="25"/>
      <c r="BL683" s="25"/>
      <c r="BM683" s="25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</row>
    <row r="684" ht="21.0" customHeight="1">
      <c r="A684" s="43"/>
      <c r="B684" s="36" t="s">
        <v>627</v>
      </c>
      <c r="C684" s="26" t="str">
        <f>vlookup(B684,'재고 백업'!$A:$B,2,0)</f>
        <v>-</v>
      </c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  <c r="BI684" s="25"/>
      <c r="BJ684" s="25"/>
      <c r="BK684" s="25"/>
      <c r="BL684" s="25"/>
      <c r="BM684" s="25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</row>
    <row r="685" ht="21.0" customHeight="1">
      <c r="A685" s="43"/>
      <c r="B685" s="36" t="s">
        <v>628</v>
      </c>
      <c r="C685" s="26" t="str">
        <f>vlookup(B685,'재고 백업'!$A:$B,2,0)</f>
        <v>-</v>
      </c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  <c r="BI685" s="25"/>
      <c r="BJ685" s="25"/>
      <c r="BK685" s="25"/>
      <c r="BL685" s="25"/>
      <c r="BM685" s="25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</row>
    <row r="686" ht="21.0" customHeight="1">
      <c r="A686" s="43"/>
      <c r="B686" s="33"/>
      <c r="C686" s="33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  <c r="BI686" s="25"/>
      <c r="BJ686" s="25"/>
      <c r="BK686" s="25"/>
      <c r="BL686" s="25"/>
      <c r="BM686" s="25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</row>
    <row r="687" ht="21.0" customHeight="1">
      <c r="A687" s="43"/>
      <c r="B687" s="18" t="s">
        <v>629</v>
      </c>
      <c r="C687" s="18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  <c r="BI687" s="25"/>
      <c r="BJ687" s="25"/>
      <c r="BK687" s="25"/>
      <c r="BL687" s="25"/>
      <c r="BM687" s="25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</row>
    <row r="688" ht="21.0" customHeight="1">
      <c r="A688" s="43"/>
      <c r="B688" s="36" t="s">
        <v>630</v>
      </c>
      <c r="C688" s="26">
        <f>vlookup(B688,'재고 백업'!$A:$B,2,0)</f>
        <v>30</v>
      </c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  <c r="BI688" s="25"/>
      <c r="BJ688" s="25"/>
      <c r="BK688" s="25"/>
      <c r="BL688" s="25"/>
      <c r="BM688" s="25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</row>
    <row r="689" ht="21.0" customHeight="1">
      <c r="A689" s="43"/>
      <c r="B689" s="36" t="s">
        <v>631</v>
      </c>
      <c r="C689" s="26" t="str">
        <f>vlookup(B689,'재고 백업'!$A:$B,2,0)</f>
        <v>-</v>
      </c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  <c r="BI689" s="25"/>
      <c r="BJ689" s="25"/>
      <c r="BK689" s="25"/>
      <c r="BL689" s="25"/>
      <c r="BM689" s="25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</row>
    <row r="690" ht="21.0" customHeight="1">
      <c r="A690" s="43"/>
      <c r="B690" s="36" t="s">
        <v>632</v>
      </c>
      <c r="C690" s="26">
        <f>vlookup(B690,'재고 백업'!$A:$B,2,0)</f>
        <v>14</v>
      </c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  <c r="BI690" s="25"/>
      <c r="BJ690" s="25"/>
      <c r="BK690" s="25"/>
      <c r="BL690" s="25"/>
      <c r="BM690" s="25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</row>
    <row r="691" ht="21.0" customHeight="1">
      <c r="A691" s="43"/>
      <c r="B691" s="36" t="s">
        <v>633</v>
      </c>
      <c r="C691" s="26">
        <f>vlookup(B691,'재고 백업'!$A:$B,2,0)</f>
        <v>9</v>
      </c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  <c r="BI691" s="25"/>
      <c r="BJ691" s="25"/>
      <c r="BK691" s="25"/>
      <c r="BL691" s="25"/>
      <c r="BM691" s="25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</row>
    <row r="692" ht="21.0" customHeight="1">
      <c r="A692" s="43"/>
      <c r="B692" s="36" t="s">
        <v>634</v>
      </c>
      <c r="C692" s="26">
        <f>vlookup(B692,'재고 백업'!$A:$B,2,0)</f>
        <v>23</v>
      </c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  <c r="BI692" s="25"/>
      <c r="BJ692" s="25"/>
      <c r="BK692" s="25"/>
      <c r="BL692" s="25"/>
      <c r="BM692" s="25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</row>
    <row r="693" ht="21.0" customHeight="1">
      <c r="A693" s="43"/>
      <c r="B693" s="36" t="s">
        <v>635</v>
      </c>
      <c r="C693" s="26">
        <f>vlookup(B693,'재고 백업'!$A:$B,2,0)</f>
        <v>15</v>
      </c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  <c r="BI693" s="25"/>
      <c r="BJ693" s="25"/>
      <c r="BK693" s="25"/>
      <c r="BL693" s="25"/>
      <c r="BM693" s="25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</row>
    <row r="694" ht="21.0" customHeight="1">
      <c r="A694" s="43"/>
      <c r="B694" s="36" t="s">
        <v>636</v>
      </c>
      <c r="C694" s="21" t="str">
        <f>vlookup(B694,'재고 백업'!$A:$B,2,0)</f>
        <v>#N/A</v>
      </c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  <c r="BI694" s="25"/>
      <c r="BJ694" s="25"/>
      <c r="BK694" s="25"/>
      <c r="BL694" s="25"/>
      <c r="BM694" s="25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</row>
    <row r="695" ht="21.0" customHeight="1">
      <c r="A695" s="43"/>
      <c r="B695" s="36" t="s">
        <v>637</v>
      </c>
      <c r="C695" s="21" t="str">
        <f>vlookup(B695,'재고 백업'!$A:$B,2,0)</f>
        <v>#N/A</v>
      </c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  <c r="BI695" s="25"/>
      <c r="BJ695" s="25"/>
      <c r="BK695" s="25"/>
      <c r="BL695" s="25"/>
      <c r="BM695" s="25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</row>
    <row r="696" ht="21.0" customHeight="1">
      <c r="A696" s="43"/>
      <c r="B696" s="36" t="s">
        <v>638</v>
      </c>
      <c r="C696" s="26">
        <f>vlookup(B696,'재고 백업'!$A:$B,2,0)</f>
        <v>3</v>
      </c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  <c r="BI696" s="25"/>
      <c r="BJ696" s="25"/>
      <c r="BK696" s="25"/>
      <c r="BL696" s="25"/>
      <c r="BM696" s="25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</row>
    <row r="697" ht="21.0" customHeight="1">
      <c r="A697" s="43"/>
      <c r="B697" s="36" t="s">
        <v>639</v>
      </c>
      <c r="C697" s="21" t="str">
        <f>vlookup(B697,'재고 백업'!$A:$B,2,0)</f>
        <v>-</v>
      </c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  <c r="BI697" s="25"/>
      <c r="BJ697" s="25"/>
      <c r="BK697" s="25"/>
      <c r="BL697" s="25"/>
      <c r="BM697" s="25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</row>
    <row r="698" ht="21.0" customHeight="1">
      <c r="A698" s="43"/>
      <c r="B698" s="36" t="s">
        <v>640</v>
      </c>
      <c r="C698" s="21" t="str">
        <f>vlookup(B698,'재고 백업'!$A:$B,2,0)</f>
        <v>#N/A</v>
      </c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  <c r="BI698" s="25"/>
      <c r="BJ698" s="25"/>
      <c r="BK698" s="25"/>
      <c r="BL698" s="25"/>
      <c r="BM698" s="25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</row>
    <row r="699" ht="21.0" customHeight="1">
      <c r="A699" s="43"/>
      <c r="B699" s="36" t="s">
        <v>641</v>
      </c>
      <c r="C699" s="26">
        <f>vlookup(B699,'재고 백업'!$A:$B,2,0)</f>
        <v>170</v>
      </c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  <c r="BI699" s="25"/>
      <c r="BJ699" s="25"/>
      <c r="BK699" s="25"/>
      <c r="BL699" s="25"/>
      <c r="BM699" s="25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</row>
    <row r="700" ht="21.0" customHeight="1">
      <c r="A700" s="43"/>
      <c r="B700" s="36" t="s">
        <v>642</v>
      </c>
      <c r="C700" s="26">
        <f>vlookup(B700,'재고 백업'!$A:$B,2,0)</f>
        <v>10</v>
      </c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  <c r="BI700" s="25"/>
      <c r="BJ700" s="25"/>
      <c r="BK700" s="25"/>
      <c r="BL700" s="25"/>
      <c r="BM700" s="25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</row>
    <row r="701" ht="21.0" customHeight="1">
      <c r="A701" s="43"/>
      <c r="B701" s="36" t="s">
        <v>643</v>
      </c>
      <c r="C701" s="26">
        <f>vlookup(B701,'재고 백업'!$A:$B,2,0)</f>
        <v>7</v>
      </c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  <c r="BI701" s="25"/>
      <c r="BJ701" s="25"/>
      <c r="BK701" s="25"/>
      <c r="BL701" s="25"/>
      <c r="BM701" s="25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</row>
    <row r="702" ht="21.0" customHeight="1">
      <c r="A702" s="43"/>
      <c r="B702" s="36" t="s">
        <v>644</v>
      </c>
      <c r="C702" s="26">
        <f>vlookup(B702,'재고 백업'!$A:$B,2,0)</f>
        <v>12</v>
      </c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  <c r="BI702" s="25"/>
      <c r="BJ702" s="25"/>
      <c r="BK702" s="25"/>
      <c r="BL702" s="25"/>
      <c r="BM702" s="25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</row>
    <row r="703" ht="21.0" customHeight="1">
      <c r="A703" s="43"/>
      <c r="B703" s="36" t="s">
        <v>645</v>
      </c>
      <c r="C703" s="26">
        <f>vlookup(B703,'재고 백업'!$A:$B,2,0)</f>
        <v>11</v>
      </c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  <c r="BI703" s="25"/>
      <c r="BJ703" s="25"/>
      <c r="BK703" s="25"/>
      <c r="BL703" s="25"/>
      <c r="BM703" s="25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</row>
    <row r="704" ht="21.0" customHeight="1">
      <c r="A704" s="43"/>
      <c r="B704" s="36" t="s">
        <v>646</v>
      </c>
      <c r="C704" s="26">
        <f>vlookup(B704,'재고 백업'!$A:$B,2,0)</f>
        <v>12</v>
      </c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  <c r="BI704" s="25"/>
      <c r="BJ704" s="25"/>
      <c r="BK704" s="25"/>
      <c r="BL704" s="25"/>
      <c r="BM704" s="25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</row>
    <row r="705" ht="21.0" customHeight="1">
      <c r="A705" s="43"/>
      <c r="B705" s="36" t="s">
        <v>647</v>
      </c>
      <c r="C705" s="26">
        <f>vlookup(B705,'재고 백업'!$A:$B,2,0)</f>
        <v>12</v>
      </c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  <c r="BI705" s="25"/>
      <c r="BJ705" s="25"/>
      <c r="BK705" s="25"/>
      <c r="BL705" s="25"/>
      <c r="BM705" s="25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</row>
    <row r="706" ht="21.0" customHeight="1">
      <c r="A706" s="43"/>
      <c r="B706" s="36" t="s">
        <v>648</v>
      </c>
      <c r="C706" s="26">
        <f>vlookup(B706,'재고 백업'!$A:$B,2,0)</f>
        <v>3</v>
      </c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  <c r="BI706" s="25"/>
      <c r="BJ706" s="25"/>
      <c r="BK706" s="25"/>
      <c r="BL706" s="25"/>
      <c r="BM706" s="25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</row>
    <row r="707" ht="21.0" customHeight="1">
      <c r="A707" s="43"/>
      <c r="B707" s="36" t="s">
        <v>649</v>
      </c>
      <c r="C707" s="26">
        <f>vlookup(B707,'재고 백업'!$A:$B,2,0)</f>
        <v>3</v>
      </c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  <c r="BI707" s="25"/>
      <c r="BJ707" s="25"/>
      <c r="BK707" s="25"/>
      <c r="BL707" s="25"/>
      <c r="BM707" s="25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</row>
    <row r="708" ht="21.0" customHeight="1">
      <c r="A708" s="43"/>
      <c r="B708" s="36" t="s">
        <v>650</v>
      </c>
      <c r="C708" s="26">
        <f>vlookup(B708,'재고 백업'!$A:$B,2,0)</f>
        <v>1</v>
      </c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  <c r="BI708" s="25"/>
      <c r="BJ708" s="25"/>
      <c r="BK708" s="25"/>
      <c r="BL708" s="25"/>
      <c r="BM708" s="25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</row>
    <row r="709" ht="21.0" customHeight="1">
      <c r="A709" s="43"/>
      <c r="B709" s="36" t="s">
        <v>651</v>
      </c>
      <c r="C709" s="26">
        <f>vlookup(B709,'재고 백업'!$A:$B,2,0)</f>
        <v>5</v>
      </c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  <c r="BI709" s="25"/>
      <c r="BJ709" s="25"/>
      <c r="BK709" s="25"/>
      <c r="BL709" s="25"/>
      <c r="BM709" s="25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</row>
    <row r="710" ht="21.0" customHeight="1">
      <c r="A710" s="43"/>
      <c r="B710" s="33"/>
      <c r="C710" s="33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  <c r="BI710" s="25"/>
      <c r="BJ710" s="25"/>
      <c r="BK710" s="25"/>
      <c r="BL710" s="25"/>
      <c r="BM710" s="25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</row>
    <row r="711" ht="21.0" customHeight="1">
      <c r="A711" s="43"/>
      <c r="B711" s="33"/>
      <c r="C711" s="33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  <c r="BI711" s="25"/>
      <c r="BJ711" s="25"/>
      <c r="BK711" s="25"/>
      <c r="BL711" s="25"/>
      <c r="BM711" s="25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</row>
    <row r="712" ht="21.0" customHeight="1">
      <c r="A712" s="43"/>
      <c r="B712" s="48" t="s">
        <v>652</v>
      </c>
      <c r="C712" s="48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  <c r="BI712" s="25"/>
      <c r="BJ712" s="25"/>
      <c r="BK712" s="25"/>
      <c r="BL712" s="25"/>
      <c r="BM712" s="25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</row>
    <row r="713" ht="21.0" customHeight="1">
      <c r="A713" s="12"/>
      <c r="B713" s="36" t="s">
        <v>653</v>
      </c>
      <c r="C713" s="26">
        <f>vlookup(B713,'재고 백업'!$A:$B,2,0)</f>
        <v>75</v>
      </c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  <c r="BI713" s="25"/>
      <c r="BJ713" s="25"/>
      <c r="BK713" s="25"/>
      <c r="BL713" s="25"/>
      <c r="BM713" s="25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</row>
    <row r="714" ht="21.0" customHeight="1">
      <c r="A714" s="12"/>
      <c r="B714" s="36" t="s">
        <v>654</v>
      </c>
      <c r="C714" s="26" t="str">
        <f>vlookup(B714,'재고 백업'!$A:$B,2,0)</f>
        <v>-</v>
      </c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  <c r="AQ714" s="44"/>
      <c r="AR714" s="44"/>
      <c r="AS714" s="44"/>
      <c r="AT714" s="44"/>
      <c r="AU714" s="44"/>
      <c r="AV714" s="4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44"/>
      <c r="BP714" s="44"/>
      <c r="BQ714" s="44"/>
      <c r="BR714" s="44"/>
      <c r="BS714" s="44"/>
      <c r="BT714" s="44"/>
      <c r="BU714" s="44"/>
      <c r="BV714" s="44"/>
      <c r="BW714" s="44"/>
    </row>
    <row r="715" ht="21.0" customHeight="1">
      <c r="A715" s="12"/>
      <c r="B715" s="36" t="s">
        <v>655</v>
      </c>
      <c r="C715" s="26">
        <f>vlookup(B715,'재고 백업'!$A:$B,2,0)</f>
        <v>164</v>
      </c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  <c r="AQ715" s="44"/>
      <c r="AR715" s="44"/>
      <c r="AS715" s="44"/>
      <c r="AT715" s="44"/>
      <c r="AU715" s="44"/>
      <c r="AV715" s="4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44"/>
      <c r="BP715" s="44"/>
      <c r="BQ715" s="44"/>
      <c r="BR715" s="44"/>
      <c r="BS715" s="44"/>
      <c r="BT715" s="44"/>
      <c r="BU715" s="44"/>
      <c r="BV715" s="44"/>
      <c r="BW715" s="44"/>
    </row>
    <row r="716" ht="21.0" customHeight="1">
      <c r="A716" s="12"/>
      <c r="B716" s="36" t="s">
        <v>656</v>
      </c>
      <c r="C716" s="26">
        <f>vlookup(B716,'재고 백업'!$A:$B,2,0)</f>
        <v>59</v>
      </c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  <c r="AG716" s="47"/>
      <c r="AH716" s="47"/>
      <c r="AI716" s="47"/>
      <c r="AJ716" s="47"/>
      <c r="AK716" s="47"/>
      <c r="AL716" s="47"/>
      <c r="AM716" s="47"/>
      <c r="AN716" s="47"/>
      <c r="AO716" s="47"/>
      <c r="AP716" s="47"/>
      <c r="AQ716" s="47"/>
      <c r="AR716" s="47"/>
      <c r="AS716" s="47"/>
      <c r="AT716" s="47"/>
      <c r="AU716" s="47"/>
      <c r="AV716" s="47"/>
      <c r="AW716" s="47"/>
      <c r="AX716" s="47"/>
      <c r="AY716" s="47"/>
      <c r="AZ716" s="47"/>
      <c r="BA716" s="47"/>
      <c r="BB716" s="47"/>
      <c r="BC716" s="47"/>
      <c r="BD716" s="47"/>
      <c r="BE716" s="47"/>
      <c r="BF716" s="47"/>
      <c r="BG716" s="47"/>
      <c r="BH716" s="47"/>
      <c r="BI716" s="47"/>
      <c r="BJ716" s="47"/>
      <c r="BK716" s="47"/>
      <c r="BL716" s="47"/>
      <c r="BM716" s="47"/>
      <c r="BN716" s="47"/>
      <c r="BO716" s="47"/>
      <c r="BP716" s="47"/>
      <c r="BQ716" s="47"/>
      <c r="BR716" s="47"/>
      <c r="BS716" s="47"/>
      <c r="BT716" s="47"/>
      <c r="BU716" s="47"/>
      <c r="BV716" s="47"/>
      <c r="BW716" s="47"/>
    </row>
    <row r="717" ht="21.0" customHeight="1">
      <c r="A717" s="12"/>
      <c r="B717" s="36" t="s">
        <v>657</v>
      </c>
      <c r="C717" s="26">
        <f>vlookup(B717,'재고 백업'!$A:$B,2,0)</f>
        <v>87</v>
      </c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  <c r="AG717" s="47"/>
      <c r="AH717" s="47"/>
      <c r="AI717" s="47"/>
      <c r="AJ717" s="47"/>
      <c r="AK717" s="47"/>
      <c r="AL717" s="47"/>
      <c r="AM717" s="47"/>
      <c r="AN717" s="47"/>
      <c r="AO717" s="47"/>
      <c r="AP717" s="47"/>
      <c r="AQ717" s="47"/>
      <c r="AR717" s="47"/>
      <c r="AS717" s="47"/>
      <c r="AT717" s="47"/>
      <c r="AU717" s="47"/>
      <c r="AV717" s="47"/>
      <c r="AW717" s="47"/>
      <c r="AX717" s="47"/>
      <c r="AY717" s="47"/>
      <c r="AZ717" s="47"/>
      <c r="BA717" s="47"/>
      <c r="BB717" s="47"/>
      <c r="BC717" s="47"/>
      <c r="BD717" s="47"/>
      <c r="BE717" s="47"/>
      <c r="BF717" s="47"/>
      <c r="BG717" s="47"/>
      <c r="BH717" s="47"/>
      <c r="BI717" s="47"/>
      <c r="BJ717" s="47"/>
      <c r="BK717" s="47"/>
      <c r="BL717" s="47"/>
      <c r="BM717" s="47"/>
      <c r="BN717" s="47"/>
      <c r="BO717" s="47"/>
      <c r="BP717" s="47"/>
      <c r="BQ717" s="47"/>
      <c r="BR717" s="47"/>
      <c r="BS717" s="47"/>
      <c r="BT717" s="47"/>
      <c r="BU717" s="47"/>
      <c r="BV717" s="47"/>
      <c r="BW717" s="47"/>
    </row>
    <row r="718" ht="21.0" customHeight="1">
      <c r="A718" s="12"/>
      <c r="B718" s="36" t="s">
        <v>658</v>
      </c>
      <c r="C718" s="26">
        <f>vlookup(B718,'재고 백업'!$A:$B,2,0)</f>
        <v>160</v>
      </c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  <c r="BI718" s="25"/>
      <c r="BJ718" s="25"/>
      <c r="BK718" s="25"/>
      <c r="BL718" s="25"/>
      <c r="BM718" s="25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</row>
    <row r="719" ht="21.0" customHeight="1">
      <c r="A719" s="12"/>
      <c r="B719" s="36" t="s">
        <v>659</v>
      </c>
      <c r="C719" s="26">
        <f>vlookup(B719,'재고 백업'!$A:$B,2,0)</f>
        <v>14</v>
      </c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  <c r="AQ719" s="44"/>
      <c r="AR719" s="44"/>
      <c r="AS719" s="44"/>
      <c r="AT719" s="44"/>
      <c r="AU719" s="44"/>
      <c r="AV719" s="4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44"/>
      <c r="BP719" s="44"/>
      <c r="BQ719" s="44"/>
      <c r="BR719" s="44"/>
      <c r="BS719" s="44"/>
      <c r="BT719" s="44"/>
      <c r="BU719" s="44"/>
      <c r="BV719" s="44"/>
      <c r="BW719" s="44"/>
    </row>
    <row r="720" ht="21.0" customHeight="1">
      <c r="A720" s="12"/>
      <c r="B720" s="36" t="s">
        <v>660</v>
      </c>
      <c r="C720" s="26">
        <f>vlookup(B720,'재고 백업'!$A:$B,2,0)</f>
        <v>242</v>
      </c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  <c r="AQ720" s="44"/>
      <c r="AR720" s="44"/>
      <c r="AS720" s="44"/>
      <c r="AT720" s="44"/>
      <c r="AU720" s="44"/>
      <c r="AV720" s="4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44"/>
      <c r="BP720" s="44"/>
      <c r="BQ720" s="44"/>
      <c r="BR720" s="44"/>
      <c r="BS720" s="44"/>
      <c r="BT720" s="44"/>
      <c r="BU720" s="44"/>
      <c r="BV720" s="44"/>
      <c r="BW720" s="44"/>
    </row>
    <row r="721" ht="21.0" customHeight="1">
      <c r="A721" s="12"/>
      <c r="B721" s="36" t="s">
        <v>661</v>
      </c>
      <c r="C721" s="26" t="str">
        <f>vlookup(B721,'재고 백업'!$A:$B,2,0)</f>
        <v>-</v>
      </c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  <c r="AQ721" s="44"/>
      <c r="AR721" s="44"/>
      <c r="AS721" s="44"/>
      <c r="AT721" s="44"/>
      <c r="AU721" s="44"/>
      <c r="AV721" s="4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44"/>
      <c r="BP721" s="44"/>
      <c r="BQ721" s="44"/>
      <c r="BR721" s="44"/>
      <c r="BS721" s="44"/>
      <c r="BT721" s="44"/>
      <c r="BU721" s="44"/>
      <c r="BV721" s="44"/>
      <c r="BW721" s="44"/>
    </row>
    <row r="722" ht="21.0" customHeight="1">
      <c r="A722" s="12"/>
      <c r="B722" s="36" t="s">
        <v>662</v>
      </c>
      <c r="C722" s="26">
        <f>vlookup(B722,'재고 백업'!$A:$B,2,0)</f>
        <v>43</v>
      </c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  <c r="AQ722" s="44"/>
      <c r="AR722" s="44"/>
      <c r="AS722" s="44"/>
      <c r="AT722" s="44"/>
      <c r="AU722" s="44"/>
      <c r="AV722" s="4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44"/>
      <c r="BP722" s="44"/>
      <c r="BQ722" s="44"/>
      <c r="BR722" s="44"/>
      <c r="BS722" s="44"/>
      <c r="BT722" s="44"/>
      <c r="BU722" s="44"/>
      <c r="BV722" s="44"/>
      <c r="BW722" s="44"/>
    </row>
    <row r="723" ht="21.0" customHeight="1">
      <c r="A723" s="12"/>
      <c r="B723" s="36" t="s">
        <v>663</v>
      </c>
      <c r="C723" s="26" t="str">
        <f>vlookup(B723,'재고 백업'!$A:$B,2,0)</f>
        <v>-</v>
      </c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  <c r="AG723" s="47"/>
      <c r="AH723" s="47"/>
      <c r="AI723" s="47"/>
      <c r="AJ723" s="47"/>
      <c r="AK723" s="47"/>
      <c r="AL723" s="47"/>
      <c r="AM723" s="47"/>
      <c r="AN723" s="47"/>
      <c r="AO723" s="47"/>
      <c r="AP723" s="47"/>
      <c r="AQ723" s="47"/>
      <c r="AR723" s="47"/>
      <c r="AS723" s="47"/>
      <c r="AT723" s="47"/>
      <c r="AU723" s="47"/>
      <c r="AV723" s="47"/>
      <c r="AW723" s="47"/>
      <c r="AX723" s="47"/>
      <c r="AY723" s="47"/>
      <c r="AZ723" s="47"/>
      <c r="BA723" s="47"/>
      <c r="BB723" s="47"/>
      <c r="BC723" s="47"/>
      <c r="BD723" s="47"/>
      <c r="BE723" s="47"/>
      <c r="BF723" s="47"/>
      <c r="BG723" s="47"/>
      <c r="BH723" s="47"/>
      <c r="BI723" s="47"/>
      <c r="BJ723" s="47"/>
      <c r="BK723" s="47"/>
      <c r="BL723" s="47"/>
      <c r="BM723" s="47"/>
      <c r="BN723" s="47"/>
      <c r="BO723" s="47"/>
      <c r="BP723" s="47"/>
      <c r="BQ723" s="47"/>
      <c r="BR723" s="47"/>
      <c r="BS723" s="47"/>
      <c r="BT723" s="47"/>
      <c r="BU723" s="47"/>
      <c r="BV723" s="47"/>
      <c r="BW723" s="47"/>
    </row>
    <row r="724" ht="21.0" customHeight="1">
      <c r="A724" s="12"/>
      <c r="B724" s="50"/>
      <c r="C724" s="50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  <c r="AG724" s="47"/>
      <c r="AH724" s="47"/>
      <c r="AI724" s="47"/>
      <c r="AJ724" s="47"/>
      <c r="AK724" s="47"/>
      <c r="AL724" s="47"/>
      <c r="AM724" s="47"/>
      <c r="AN724" s="47"/>
      <c r="AO724" s="47"/>
      <c r="AP724" s="47"/>
      <c r="AQ724" s="47"/>
      <c r="AR724" s="47"/>
      <c r="AS724" s="47"/>
      <c r="AT724" s="47"/>
      <c r="AU724" s="47"/>
      <c r="AV724" s="47"/>
      <c r="AW724" s="47"/>
      <c r="AX724" s="47"/>
      <c r="AY724" s="47"/>
      <c r="AZ724" s="47"/>
      <c r="BA724" s="47"/>
      <c r="BB724" s="47"/>
      <c r="BC724" s="47"/>
      <c r="BD724" s="47"/>
      <c r="BE724" s="47"/>
      <c r="BF724" s="47"/>
      <c r="BG724" s="47"/>
      <c r="BH724" s="47"/>
      <c r="BI724" s="47"/>
      <c r="BJ724" s="47"/>
      <c r="BK724" s="47"/>
      <c r="BL724" s="47"/>
      <c r="BM724" s="47"/>
      <c r="BN724" s="47"/>
      <c r="BO724" s="47"/>
      <c r="BP724" s="47"/>
      <c r="BQ724" s="47"/>
      <c r="BR724" s="47"/>
      <c r="BS724" s="47"/>
      <c r="BT724" s="47"/>
      <c r="BU724" s="47"/>
      <c r="BV724" s="47"/>
      <c r="BW724" s="47"/>
    </row>
    <row r="725" ht="21.0" customHeight="1">
      <c r="A725" s="12"/>
      <c r="B725" s="35" t="s">
        <v>664</v>
      </c>
      <c r="C725" s="35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  <c r="AG725" s="47"/>
      <c r="AH725" s="47"/>
      <c r="AI725" s="47"/>
      <c r="AJ725" s="47"/>
      <c r="AK725" s="47"/>
      <c r="AL725" s="47"/>
      <c r="AM725" s="47"/>
      <c r="AN725" s="47"/>
      <c r="AO725" s="47"/>
      <c r="AP725" s="47"/>
      <c r="AQ725" s="47"/>
      <c r="AR725" s="47"/>
      <c r="AS725" s="47"/>
      <c r="AT725" s="47"/>
      <c r="AU725" s="47"/>
      <c r="AV725" s="47"/>
      <c r="AW725" s="47"/>
      <c r="AX725" s="47"/>
      <c r="AY725" s="47"/>
      <c r="AZ725" s="47"/>
      <c r="BA725" s="47"/>
      <c r="BB725" s="47"/>
      <c r="BC725" s="47"/>
      <c r="BD725" s="47"/>
      <c r="BE725" s="47"/>
      <c r="BF725" s="47"/>
      <c r="BG725" s="47"/>
      <c r="BH725" s="47"/>
      <c r="BI725" s="47"/>
      <c r="BJ725" s="47"/>
      <c r="BK725" s="47"/>
      <c r="BL725" s="47"/>
      <c r="BM725" s="47"/>
      <c r="BN725" s="47"/>
      <c r="BO725" s="47"/>
      <c r="BP725" s="47"/>
      <c r="BQ725" s="47"/>
      <c r="BR725" s="47"/>
      <c r="BS725" s="47"/>
      <c r="BT725" s="47"/>
      <c r="BU725" s="47"/>
      <c r="BV725" s="47"/>
      <c r="BW725" s="47"/>
    </row>
    <row r="726" ht="21.0" customHeight="1">
      <c r="A726" s="12"/>
      <c r="B726" s="36" t="s">
        <v>665</v>
      </c>
      <c r="C726" s="26">
        <f>vlookup(B726,'재고 백업'!$A:$B,2,0)</f>
        <v>33</v>
      </c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  <c r="AG726" s="47"/>
      <c r="AH726" s="47"/>
      <c r="AI726" s="47"/>
      <c r="AJ726" s="47"/>
      <c r="AK726" s="47"/>
      <c r="AL726" s="47"/>
      <c r="AM726" s="47"/>
      <c r="AN726" s="47"/>
      <c r="AO726" s="47"/>
      <c r="AP726" s="47"/>
      <c r="AQ726" s="47"/>
      <c r="AR726" s="47"/>
      <c r="AS726" s="47"/>
      <c r="AT726" s="47"/>
      <c r="AU726" s="47"/>
      <c r="AV726" s="47"/>
      <c r="AW726" s="47"/>
      <c r="AX726" s="47"/>
      <c r="AY726" s="47"/>
      <c r="AZ726" s="47"/>
      <c r="BA726" s="47"/>
      <c r="BB726" s="47"/>
      <c r="BC726" s="47"/>
      <c r="BD726" s="47"/>
      <c r="BE726" s="47"/>
      <c r="BF726" s="47"/>
      <c r="BG726" s="47"/>
      <c r="BH726" s="47"/>
      <c r="BI726" s="47"/>
      <c r="BJ726" s="47"/>
      <c r="BK726" s="47"/>
      <c r="BL726" s="47"/>
      <c r="BM726" s="47"/>
      <c r="BN726" s="47"/>
      <c r="BO726" s="47"/>
      <c r="BP726" s="47"/>
      <c r="BQ726" s="47"/>
      <c r="BR726" s="47"/>
      <c r="BS726" s="47"/>
      <c r="BT726" s="47"/>
      <c r="BU726" s="47"/>
      <c r="BV726" s="47"/>
      <c r="BW726" s="47"/>
    </row>
    <row r="727" ht="21.0" customHeight="1">
      <c r="A727" s="12"/>
      <c r="B727" s="36" t="s">
        <v>666</v>
      </c>
      <c r="C727" s="26">
        <f>vlookup(B727,'재고 백업'!$A:$B,2,0)</f>
        <v>107</v>
      </c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  <c r="AG727" s="47"/>
      <c r="AH727" s="47"/>
      <c r="AI727" s="47"/>
      <c r="AJ727" s="47"/>
      <c r="AK727" s="47"/>
      <c r="AL727" s="47"/>
      <c r="AM727" s="47"/>
      <c r="AN727" s="47"/>
      <c r="AO727" s="47"/>
      <c r="AP727" s="47"/>
      <c r="AQ727" s="47"/>
      <c r="AR727" s="47"/>
      <c r="AS727" s="47"/>
      <c r="AT727" s="47"/>
      <c r="AU727" s="47"/>
      <c r="AV727" s="47"/>
      <c r="AW727" s="47"/>
      <c r="AX727" s="47"/>
      <c r="AY727" s="47"/>
      <c r="AZ727" s="47"/>
      <c r="BA727" s="47"/>
      <c r="BB727" s="47"/>
      <c r="BC727" s="47"/>
      <c r="BD727" s="47"/>
      <c r="BE727" s="47"/>
      <c r="BF727" s="47"/>
      <c r="BG727" s="47"/>
      <c r="BH727" s="47"/>
      <c r="BI727" s="47"/>
      <c r="BJ727" s="47"/>
      <c r="BK727" s="47"/>
      <c r="BL727" s="47"/>
      <c r="BM727" s="47"/>
      <c r="BN727" s="47"/>
      <c r="BO727" s="47"/>
      <c r="BP727" s="47"/>
      <c r="BQ727" s="47"/>
      <c r="BR727" s="47"/>
      <c r="BS727" s="47"/>
      <c r="BT727" s="47"/>
      <c r="BU727" s="47"/>
      <c r="BV727" s="47"/>
      <c r="BW727" s="47"/>
    </row>
    <row r="728" ht="21.0" customHeight="1">
      <c r="A728" s="12"/>
      <c r="B728" s="36" t="s">
        <v>667</v>
      </c>
      <c r="C728" s="26">
        <f>vlookup(B728,'재고 백업'!$A:$B,2,0)</f>
        <v>40</v>
      </c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  <c r="AG728" s="47"/>
      <c r="AH728" s="47"/>
      <c r="AI728" s="47"/>
      <c r="AJ728" s="47"/>
      <c r="AK728" s="47"/>
      <c r="AL728" s="47"/>
      <c r="AM728" s="47"/>
      <c r="AN728" s="47"/>
      <c r="AO728" s="47"/>
      <c r="AP728" s="47"/>
      <c r="AQ728" s="47"/>
      <c r="AR728" s="47"/>
      <c r="AS728" s="47"/>
      <c r="AT728" s="47"/>
      <c r="AU728" s="47"/>
      <c r="AV728" s="47"/>
      <c r="AW728" s="47"/>
      <c r="AX728" s="47"/>
      <c r="AY728" s="47"/>
      <c r="AZ728" s="47"/>
      <c r="BA728" s="47"/>
      <c r="BB728" s="47"/>
      <c r="BC728" s="47"/>
      <c r="BD728" s="47"/>
      <c r="BE728" s="47"/>
      <c r="BF728" s="47"/>
      <c r="BG728" s="47"/>
      <c r="BH728" s="47"/>
      <c r="BI728" s="47"/>
      <c r="BJ728" s="47"/>
      <c r="BK728" s="47"/>
      <c r="BL728" s="47"/>
      <c r="BM728" s="47"/>
      <c r="BN728" s="47"/>
      <c r="BO728" s="47"/>
      <c r="BP728" s="47"/>
      <c r="BQ728" s="47"/>
      <c r="BR728" s="47"/>
      <c r="BS728" s="47"/>
      <c r="BT728" s="47"/>
      <c r="BU728" s="47"/>
      <c r="BV728" s="47"/>
      <c r="BW728" s="47"/>
    </row>
    <row r="729" ht="21.0" customHeight="1">
      <c r="A729" s="12"/>
      <c r="B729" s="36" t="s">
        <v>668</v>
      </c>
      <c r="C729" s="26" t="str">
        <f>vlookup(B729,'재고 백업'!$A:$B,2,0)</f>
        <v>-</v>
      </c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  <c r="AG729" s="47"/>
      <c r="AH729" s="47"/>
      <c r="AI729" s="47"/>
      <c r="AJ729" s="47"/>
      <c r="AK729" s="47"/>
      <c r="AL729" s="47"/>
      <c r="AM729" s="47"/>
      <c r="AN729" s="47"/>
      <c r="AO729" s="47"/>
      <c r="AP729" s="47"/>
      <c r="AQ729" s="47"/>
      <c r="AR729" s="47"/>
      <c r="AS729" s="47"/>
      <c r="AT729" s="47"/>
      <c r="AU729" s="47"/>
      <c r="AV729" s="47"/>
      <c r="AW729" s="47"/>
      <c r="AX729" s="47"/>
      <c r="AY729" s="47"/>
      <c r="AZ729" s="47"/>
      <c r="BA729" s="47"/>
      <c r="BB729" s="47"/>
      <c r="BC729" s="47"/>
      <c r="BD729" s="47"/>
      <c r="BE729" s="47"/>
      <c r="BF729" s="47"/>
      <c r="BG729" s="47"/>
      <c r="BH729" s="47"/>
      <c r="BI729" s="47"/>
      <c r="BJ729" s="47"/>
      <c r="BK729" s="47"/>
      <c r="BL729" s="47"/>
      <c r="BM729" s="47"/>
      <c r="BN729" s="47"/>
      <c r="BO729" s="47"/>
      <c r="BP729" s="47"/>
      <c r="BQ729" s="47"/>
      <c r="BR729" s="47"/>
      <c r="BS729" s="47"/>
      <c r="BT729" s="47"/>
      <c r="BU729" s="47"/>
      <c r="BV729" s="47"/>
      <c r="BW729" s="47"/>
    </row>
    <row r="730" ht="21.0" customHeight="1">
      <c r="A730" s="12"/>
      <c r="B730" s="36" t="s">
        <v>669</v>
      </c>
      <c r="C730" s="26">
        <f>vlookup(B730,'재고 백업'!$A:$B,2,0)</f>
        <v>63</v>
      </c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  <c r="AG730" s="47"/>
      <c r="AH730" s="47"/>
      <c r="AI730" s="47"/>
      <c r="AJ730" s="47"/>
      <c r="AK730" s="47"/>
      <c r="AL730" s="47"/>
      <c r="AM730" s="47"/>
      <c r="AN730" s="47"/>
      <c r="AO730" s="47"/>
      <c r="AP730" s="47"/>
      <c r="AQ730" s="47"/>
      <c r="AR730" s="47"/>
      <c r="AS730" s="47"/>
      <c r="AT730" s="47"/>
      <c r="AU730" s="47"/>
      <c r="AV730" s="47"/>
      <c r="AW730" s="47"/>
      <c r="AX730" s="47"/>
      <c r="AY730" s="47"/>
      <c r="AZ730" s="47"/>
      <c r="BA730" s="47"/>
      <c r="BB730" s="47"/>
      <c r="BC730" s="47"/>
      <c r="BD730" s="47"/>
      <c r="BE730" s="47"/>
      <c r="BF730" s="47"/>
      <c r="BG730" s="47"/>
      <c r="BH730" s="47"/>
      <c r="BI730" s="47"/>
      <c r="BJ730" s="47"/>
      <c r="BK730" s="47"/>
      <c r="BL730" s="47"/>
      <c r="BM730" s="47"/>
      <c r="BN730" s="47"/>
      <c r="BO730" s="47"/>
      <c r="BP730" s="47"/>
      <c r="BQ730" s="47"/>
      <c r="BR730" s="47"/>
      <c r="BS730" s="47"/>
      <c r="BT730" s="47"/>
      <c r="BU730" s="47"/>
      <c r="BV730" s="47"/>
      <c r="BW730" s="47"/>
    </row>
    <row r="731" ht="21.0" customHeight="1">
      <c r="A731" s="12"/>
      <c r="B731" s="36" t="s">
        <v>670</v>
      </c>
      <c r="C731" s="26">
        <f>vlookup(B731,'재고 백업'!$A:$B,2,0)</f>
        <v>27</v>
      </c>
    </row>
    <row r="732" ht="21.0" customHeight="1">
      <c r="A732" s="12"/>
      <c r="B732" s="36" t="s">
        <v>671</v>
      </c>
      <c r="C732" s="26" t="str">
        <f>vlookup(B732,'재고 백업'!$A:$B,2,0)</f>
        <v>-</v>
      </c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  <c r="AB732" s="44"/>
      <c r="AC732" s="44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  <c r="AQ732" s="44"/>
      <c r="AR732" s="44"/>
      <c r="AS732" s="44"/>
      <c r="AT732" s="44"/>
      <c r="AU732" s="44"/>
      <c r="AV732" s="4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44"/>
      <c r="BP732" s="44"/>
      <c r="BQ732" s="44"/>
      <c r="BR732" s="44"/>
      <c r="BS732" s="44"/>
      <c r="BT732" s="44"/>
      <c r="BU732" s="44"/>
      <c r="BV732" s="44"/>
      <c r="BW732" s="44"/>
    </row>
    <row r="733" ht="21.0" customHeight="1">
      <c r="A733" s="12"/>
      <c r="B733" s="33"/>
      <c r="C733" s="3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  <c r="AB733" s="44"/>
      <c r="AC733" s="44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  <c r="AQ733" s="44"/>
      <c r="AR733" s="44"/>
      <c r="AS733" s="44"/>
      <c r="AT733" s="44"/>
      <c r="AU733" s="44"/>
      <c r="AV733" s="4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44"/>
      <c r="BP733" s="44"/>
      <c r="BQ733" s="44"/>
      <c r="BR733" s="44"/>
      <c r="BS733" s="44"/>
      <c r="BT733" s="44"/>
      <c r="BU733" s="44"/>
      <c r="BV733" s="44"/>
      <c r="BW733" s="44"/>
    </row>
    <row r="734" ht="21.0" customHeight="1">
      <c r="A734" s="12"/>
      <c r="B734" s="29" t="s">
        <v>672</v>
      </c>
      <c r="C734" s="29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  <c r="AB734" s="44"/>
      <c r="AC734" s="44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  <c r="AQ734" s="44"/>
      <c r="AR734" s="44"/>
      <c r="AS734" s="44"/>
      <c r="AT734" s="44"/>
      <c r="AU734" s="44"/>
      <c r="AV734" s="4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44"/>
      <c r="BP734" s="44"/>
      <c r="BQ734" s="44"/>
      <c r="BR734" s="44"/>
      <c r="BS734" s="44"/>
      <c r="BT734" s="44"/>
      <c r="BU734" s="44"/>
      <c r="BV734" s="44"/>
      <c r="BW734" s="44"/>
    </row>
    <row r="735" ht="21.0" customHeight="1">
      <c r="A735" s="12"/>
      <c r="B735" s="36" t="s">
        <v>673</v>
      </c>
      <c r="C735" s="21" t="str">
        <f>vlookup(B735,'재고 백업'!$A:$B,2,0)</f>
        <v>#N/A</v>
      </c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  <c r="AB735" s="44"/>
      <c r="AC735" s="44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  <c r="AQ735" s="44"/>
      <c r="AR735" s="44"/>
      <c r="AS735" s="44"/>
      <c r="AT735" s="44"/>
      <c r="AU735" s="44"/>
      <c r="AV735" s="4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44"/>
      <c r="BP735" s="44"/>
      <c r="BQ735" s="44"/>
      <c r="BR735" s="44"/>
      <c r="BS735" s="44"/>
      <c r="BT735" s="44"/>
      <c r="BU735" s="44"/>
      <c r="BV735" s="44"/>
      <c r="BW735" s="44"/>
    </row>
    <row r="736" ht="21.0" customHeight="1">
      <c r="A736" s="12"/>
      <c r="B736" s="36" t="s">
        <v>674</v>
      </c>
      <c r="C736" s="26">
        <f>vlookup(B736,'재고 백업'!$A:$B,2,0)</f>
        <v>1</v>
      </c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  <c r="AB736" s="44"/>
      <c r="AC736" s="44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  <c r="AQ736" s="44"/>
      <c r="AR736" s="44"/>
      <c r="AS736" s="44"/>
      <c r="AT736" s="44"/>
      <c r="AU736" s="44"/>
      <c r="AV736" s="4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44"/>
      <c r="BP736" s="44"/>
      <c r="BQ736" s="44"/>
      <c r="BR736" s="44"/>
      <c r="BS736" s="44"/>
      <c r="BT736" s="44"/>
      <c r="BU736" s="44"/>
      <c r="BV736" s="44"/>
      <c r="BW736" s="44"/>
    </row>
    <row r="737" ht="21.0" customHeight="1">
      <c r="A737" s="12"/>
      <c r="B737" s="33"/>
      <c r="C737" s="3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  <c r="AB737" s="44"/>
      <c r="AC737" s="44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  <c r="AQ737" s="44"/>
      <c r="AR737" s="44"/>
      <c r="AS737" s="44"/>
      <c r="AT737" s="44"/>
      <c r="AU737" s="44"/>
      <c r="AV737" s="4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44"/>
      <c r="BP737" s="44"/>
      <c r="BQ737" s="44"/>
      <c r="BR737" s="44"/>
      <c r="BS737" s="44"/>
      <c r="BT737" s="44"/>
      <c r="BU737" s="44"/>
      <c r="BV737" s="44"/>
      <c r="BW737" s="44"/>
    </row>
    <row r="738" ht="21.0" customHeight="1">
      <c r="A738" s="12"/>
      <c r="B738" s="29" t="s">
        <v>672</v>
      </c>
      <c r="C738" s="29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  <c r="AB738" s="44"/>
      <c r="AC738" s="44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  <c r="AQ738" s="44"/>
      <c r="AR738" s="44"/>
      <c r="AS738" s="44"/>
      <c r="AT738" s="44"/>
      <c r="AU738" s="44"/>
      <c r="AV738" s="4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44"/>
      <c r="BP738" s="44"/>
      <c r="BQ738" s="44"/>
      <c r="BR738" s="44"/>
      <c r="BS738" s="44"/>
      <c r="BT738" s="44"/>
      <c r="BU738" s="44"/>
      <c r="BV738" s="44"/>
      <c r="BW738" s="44"/>
    </row>
    <row r="739" ht="21.0" customHeight="1">
      <c r="A739" s="12"/>
      <c r="B739" s="36" t="s">
        <v>675</v>
      </c>
      <c r="C739" s="26" t="str">
        <f>vlookup(B739,'재고 백업'!$A:$B,2,0)</f>
        <v>-</v>
      </c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  <c r="AB739" s="44"/>
      <c r="AC739" s="44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  <c r="AQ739" s="44"/>
      <c r="AR739" s="44"/>
      <c r="AS739" s="44"/>
      <c r="AT739" s="44"/>
      <c r="AU739" s="44"/>
      <c r="AV739" s="4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44"/>
      <c r="BP739" s="44"/>
      <c r="BQ739" s="44"/>
      <c r="BR739" s="44"/>
      <c r="BS739" s="44"/>
      <c r="BT739" s="44"/>
      <c r="BU739" s="44"/>
      <c r="BV739" s="44"/>
      <c r="BW739" s="44"/>
    </row>
    <row r="740" ht="21.0" customHeight="1">
      <c r="A740" s="12"/>
      <c r="B740" s="33"/>
      <c r="C740" s="3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  <c r="AB740" s="44"/>
      <c r="AC740" s="44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  <c r="AQ740" s="44"/>
      <c r="AR740" s="44"/>
      <c r="AS740" s="44"/>
      <c r="AT740" s="44"/>
      <c r="AU740" s="44"/>
      <c r="AV740" s="4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44"/>
      <c r="BP740" s="44"/>
      <c r="BQ740" s="44"/>
      <c r="BR740" s="44"/>
      <c r="BS740" s="44"/>
      <c r="BT740" s="44"/>
      <c r="BU740" s="44"/>
      <c r="BV740" s="44"/>
      <c r="BW740" s="44"/>
    </row>
    <row r="741" ht="21.0" customHeight="1">
      <c r="A741" s="12"/>
      <c r="B741" s="29" t="s">
        <v>676</v>
      </c>
      <c r="C741" s="29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  <c r="AB741" s="44"/>
      <c r="AC741" s="44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  <c r="AQ741" s="44"/>
      <c r="AR741" s="44"/>
      <c r="AS741" s="44"/>
      <c r="AT741" s="44"/>
      <c r="AU741" s="44"/>
      <c r="AV741" s="4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44"/>
      <c r="BP741" s="44"/>
      <c r="BQ741" s="44"/>
      <c r="BR741" s="44"/>
      <c r="BS741" s="44"/>
      <c r="BT741" s="44"/>
      <c r="BU741" s="44"/>
      <c r="BV741" s="44"/>
      <c r="BW741" s="44"/>
    </row>
    <row r="742" ht="21.0" customHeight="1">
      <c r="A742" s="12"/>
      <c r="B742" s="36" t="s">
        <v>677</v>
      </c>
      <c r="C742" s="26" t="str">
        <f>vlookup(B742,'재고 백업'!$A:$B,2,0)</f>
        <v>-</v>
      </c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  <c r="AB742" s="44"/>
      <c r="AC742" s="44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  <c r="AQ742" s="44"/>
      <c r="AR742" s="44"/>
      <c r="AS742" s="44"/>
      <c r="AT742" s="44"/>
      <c r="AU742" s="44"/>
      <c r="AV742" s="4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44"/>
      <c r="BP742" s="44"/>
      <c r="BQ742" s="44"/>
      <c r="BR742" s="44"/>
      <c r="BS742" s="44"/>
      <c r="BT742" s="44"/>
      <c r="BU742" s="44"/>
      <c r="BV742" s="44"/>
      <c r="BW742" s="44"/>
    </row>
    <row r="743" ht="21.0" customHeight="1">
      <c r="A743" s="12"/>
      <c r="B743" s="33"/>
      <c r="C743" s="3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  <c r="AB743" s="44"/>
      <c r="AC743" s="44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  <c r="AQ743" s="44"/>
      <c r="AR743" s="44"/>
      <c r="AS743" s="44"/>
      <c r="AT743" s="44"/>
      <c r="AU743" s="44"/>
      <c r="AV743" s="4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44"/>
      <c r="BP743" s="44"/>
      <c r="BQ743" s="44"/>
      <c r="BR743" s="44"/>
      <c r="BS743" s="44"/>
      <c r="BT743" s="44"/>
      <c r="BU743" s="44"/>
      <c r="BV743" s="44"/>
      <c r="BW743" s="44"/>
    </row>
    <row r="744" ht="21.0" customHeight="1">
      <c r="A744" s="12"/>
      <c r="B744" s="35" t="s">
        <v>678</v>
      </c>
      <c r="C744" s="35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  <c r="AB744" s="44"/>
      <c r="AC744" s="44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  <c r="AQ744" s="44"/>
      <c r="AR744" s="44"/>
      <c r="AS744" s="44"/>
      <c r="AT744" s="44"/>
      <c r="AU744" s="44"/>
      <c r="AV744" s="4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44"/>
      <c r="BP744" s="44"/>
      <c r="BQ744" s="44"/>
      <c r="BR744" s="44"/>
      <c r="BS744" s="44"/>
      <c r="BT744" s="44"/>
      <c r="BU744" s="44"/>
      <c r="BV744" s="44"/>
      <c r="BW744" s="44"/>
    </row>
    <row r="745" ht="21.0" customHeight="1">
      <c r="A745" s="12"/>
      <c r="B745" s="36" t="s">
        <v>679</v>
      </c>
      <c r="C745" s="26">
        <f>vlookup(B745,'재고 백업'!$A:$B,2,0)</f>
        <v>14</v>
      </c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  <c r="AB745" s="44"/>
      <c r="AC745" s="44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  <c r="AQ745" s="44"/>
      <c r="AR745" s="44"/>
      <c r="AS745" s="44"/>
      <c r="AT745" s="44"/>
      <c r="AU745" s="44"/>
      <c r="AV745" s="4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44"/>
      <c r="BP745" s="44"/>
      <c r="BQ745" s="44"/>
      <c r="BR745" s="44"/>
      <c r="BS745" s="44"/>
      <c r="BT745" s="44"/>
      <c r="BU745" s="44"/>
      <c r="BV745" s="44"/>
      <c r="BW745" s="44"/>
    </row>
    <row r="746" ht="21.0" customHeight="1">
      <c r="A746" s="12"/>
      <c r="B746" s="27"/>
      <c r="C746" s="27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  <c r="BI746" s="25"/>
      <c r="BJ746" s="25"/>
      <c r="BK746" s="25"/>
      <c r="BL746" s="25"/>
      <c r="BM746" s="25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</row>
    <row r="747" ht="21.0" customHeight="1">
      <c r="A747" s="12"/>
      <c r="B747" s="35" t="s">
        <v>680</v>
      </c>
      <c r="C747" s="3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  <c r="BI747" s="25"/>
      <c r="BJ747" s="25"/>
      <c r="BK747" s="25"/>
      <c r="BL747" s="25"/>
      <c r="BM747" s="25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</row>
    <row r="748" ht="21.0" customHeight="1">
      <c r="A748" s="12"/>
      <c r="B748" s="36" t="s">
        <v>681</v>
      </c>
      <c r="C748" s="21" t="str">
        <f>vlookup(B748,'재고 백업'!$A:$B,2,0)</f>
        <v>-</v>
      </c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  <c r="BI748" s="25"/>
      <c r="BJ748" s="25"/>
      <c r="BK748" s="25"/>
      <c r="BL748" s="25"/>
      <c r="BM748" s="25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</row>
    <row r="749" ht="21.0" customHeight="1">
      <c r="A749" s="12"/>
      <c r="B749" s="36" t="s">
        <v>682</v>
      </c>
      <c r="C749" s="21" t="str">
        <f>vlookup(B749,'재고 백업'!$A:$B,2,0)</f>
        <v>-</v>
      </c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  <c r="BI749" s="25"/>
      <c r="BJ749" s="25"/>
      <c r="BK749" s="25"/>
      <c r="BL749" s="25"/>
      <c r="BM749" s="25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</row>
    <row r="750" ht="21.0" customHeight="1">
      <c r="A750" s="12"/>
      <c r="B750" s="27"/>
      <c r="C750" s="27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  <c r="BI750" s="25"/>
      <c r="BJ750" s="25"/>
      <c r="BK750" s="25"/>
      <c r="BL750" s="25"/>
      <c r="BM750" s="25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</row>
    <row r="751" ht="21.0" customHeight="1">
      <c r="A751" s="12"/>
      <c r="B751" s="42" t="s">
        <v>683</v>
      </c>
      <c r="C751" s="42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  <c r="BI751" s="25"/>
      <c r="BJ751" s="25"/>
      <c r="BK751" s="25"/>
      <c r="BL751" s="25"/>
      <c r="BM751" s="25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</row>
    <row r="752" ht="21.0" customHeight="1">
      <c r="A752" s="12"/>
      <c r="B752" s="36" t="s">
        <v>684</v>
      </c>
      <c r="C752" s="26" t="str">
        <f>vlookup(B752,'재고 백업'!$A:$B,2,0)</f>
        <v>-</v>
      </c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  <c r="BI752" s="25"/>
      <c r="BJ752" s="25"/>
      <c r="BK752" s="25"/>
      <c r="BL752" s="25"/>
      <c r="BM752" s="25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</row>
    <row r="753" ht="21.0" customHeight="1">
      <c r="A753" s="12"/>
      <c r="B753" s="27"/>
      <c r="C753" s="27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  <c r="BI753" s="25"/>
      <c r="BJ753" s="25"/>
      <c r="BK753" s="25"/>
      <c r="BL753" s="25"/>
      <c r="BM753" s="25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</row>
    <row r="754" ht="21.0" customHeight="1">
      <c r="A754" s="12"/>
      <c r="B754" s="42" t="s">
        <v>685</v>
      </c>
      <c r="C754" s="42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  <c r="AB754" s="44"/>
      <c r="AC754" s="44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  <c r="AQ754" s="44"/>
      <c r="AR754" s="44"/>
      <c r="AS754" s="44"/>
      <c r="AT754" s="44"/>
      <c r="AU754" s="44"/>
      <c r="AV754" s="4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44"/>
      <c r="BP754" s="44"/>
      <c r="BQ754" s="44"/>
      <c r="BR754" s="44"/>
      <c r="BS754" s="44"/>
      <c r="BT754" s="44"/>
      <c r="BU754" s="44"/>
      <c r="BV754" s="44"/>
      <c r="BW754" s="44"/>
    </row>
    <row r="755" ht="21.0" customHeight="1">
      <c r="A755" s="12"/>
      <c r="B755" s="36" t="s">
        <v>686</v>
      </c>
      <c r="C755" s="26" t="str">
        <f>vlookup(B755,'재고 백업'!$A:$B,2,0)</f>
        <v>-</v>
      </c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  <c r="AB755" s="44"/>
      <c r="AC755" s="44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  <c r="AQ755" s="44"/>
      <c r="AR755" s="44"/>
      <c r="AS755" s="44"/>
      <c r="AT755" s="44"/>
      <c r="AU755" s="44"/>
      <c r="AV755" s="4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44"/>
      <c r="BP755" s="44"/>
      <c r="BQ755" s="44"/>
      <c r="BR755" s="44"/>
      <c r="BS755" s="44"/>
      <c r="BT755" s="44"/>
      <c r="BU755" s="44"/>
      <c r="BV755" s="44"/>
      <c r="BW755" s="44"/>
    </row>
    <row r="756" ht="21.0" customHeight="1">
      <c r="A756" s="12"/>
      <c r="B756" s="36" t="s">
        <v>687</v>
      </c>
      <c r="C756" s="26" t="str">
        <f>vlookup(B756,'재고 백업'!$A:$B,2,0)</f>
        <v>-</v>
      </c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  <c r="AQ756" s="44"/>
      <c r="AR756" s="44"/>
      <c r="AS756" s="44"/>
      <c r="AT756" s="44"/>
      <c r="AU756" s="44"/>
      <c r="AV756" s="4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44"/>
      <c r="BP756" s="44"/>
      <c r="BQ756" s="44"/>
      <c r="BR756" s="44"/>
      <c r="BS756" s="44"/>
      <c r="BT756" s="44"/>
      <c r="BU756" s="44"/>
      <c r="BV756" s="44"/>
      <c r="BW756" s="44"/>
    </row>
    <row r="757" ht="21.0" customHeight="1">
      <c r="A757" s="12"/>
      <c r="B757" s="36" t="s">
        <v>688</v>
      </c>
      <c r="C757" s="26">
        <f>vlookup(B757,'재고 백업'!$A:$B,2,0)</f>
        <v>50</v>
      </c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  <c r="AB757" s="44"/>
      <c r="AC757" s="44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  <c r="AQ757" s="44"/>
      <c r="AR757" s="44"/>
      <c r="AS757" s="44"/>
      <c r="AT757" s="44"/>
      <c r="AU757" s="44"/>
      <c r="AV757" s="4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44"/>
      <c r="BP757" s="44"/>
      <c r="BQ757" s="44"/>
      <c r="BR757" s="44"/>
      <c r="BS757" s="44"/>
      <c r="BT757" s="44"/>
      <c r="BU757" s="44"/>
      <c r="BV757" s="44"/>
      <c r="BW757" s="44"/>
    </row>
    <row r="758" ht="21.0" customHeight="1">
      <c r="A758" s="12"/>
      <c r="B758" s="36" t="s">
        <v>689</v>
      </c>
      <c r="C758" s="26" t="str">
        <f>vlookup(B758,'재고 백업'!$A:$B,2,0)</f>
        <v>-</v>
      </c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  <c r="AB758" s="44"/>
      <c r="AC758" s="44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  <c r="AQ758" s="44"/>
      <c r="AR758" s="44"/>
      <c r="AS758" s="44"/>
      <c r="AT758" s="44"/>
      <c r="AU758" s="44"/>
      <c r="AV758" s="4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44"/>
      <c r="BP758" s="44"/>
      <c r="BQ758" s="44"/>
      <c r="BR758" s="44"/>
      <c r="BS758" s="44"/>
      <c r="BT758" s="44"/>
      <c r="BU758" s="44"/>
      <c r="BV758" s="44"/>
      <c r="BW758" s="44"/>
    </row>
    <row r="759" ht="21.0" customHeight="1">
      <c r="A759" s="12"/>
      <c r="B759" s="68"/>
      <c r="C759" s="69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  <c r="AB759" s="44"/>
      <c r="AC759" s="44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  <c r="AQ759" s="44"/>
      <c r="AR759" s="44"/>
      <c r="AS759" s="44"/>
      <c r="AT759" s="44"/>
      <c r="AU759" s="44"/>
      <c r="AV759" s="4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44"/>
      <c r="BP759" s="44"/>
      <c r="BQ759" s="44"/>
      <c r="BR759" s="44"/>
      <c r="BS759" s="44"/>
      <c r="BT759" s="44"/>
      <c r="BU759" s="44"/>
      <c r="BV759" s="44"/>
      <c r="BW759" s="44"/>
    </row>
    <row r="760" ht="21.0" customHeight="1">
      <c r="A760" s="12"/>
      <c r="B760" s="42" t="s">
        <v>690</v>
      </c>
      <c r="C760" s="42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  <c r="AB760" s="44"/>
      <c r="AC760" s="44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  <c r="AQ760" s="44"/>
      <c r="AR760" s="44"/>
      <c r="AS760" s="44"/>
      <c r="AT760" s="44"/>
      <c r="AU760" s="44"/>
      <c r="AV760" s="4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44"/>
      <c r="BP760" s="44"/>
      <c r="BQ760" s="44"/>
      <c r="BR760" s="44"/>
      <c r="BS760" s="44"/>
      <c r="BT760" s="44"/>
      <c r="BU760" s="44"/>
      <c r="BV760" s="44"/>
      <c r="BW760" s="44"/>
    </row>
    <row r="761" ht="21.0" customHeight="1">
      <c r="A761" s="12"/>
      <c r="B761" s="36" t="s">
        <v>691</v>
      </c>
      <c r="C761" s="26" t="str">
        <f>vlookup(B761,'재고 백업'!$A:$B,2,0)</f>
        <v>-</v>
      </c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  <c r="AB761" s="44"/>
      <c r="AC761" s="44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  <c r="AQ761" s="44"/>
      <c r="AR761" s="44"/>
      <c r="AS761" s="44"/>
      <c r="AT761" s="44"/>
      <c r="AU761" s="44"/>
      <c r="AV761" s="4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44"/>
      <c r="BP761" s="44"/>
      <c r="BQ761" s="44"/>
      <c r="BR761" s="44"/>
      <c r="BS761" s="44"/>
      <c r="BT761" s="44"/>
      <c r="BU761" s="44"/>
      <c r="BV761" s="44"/>
      <c r="BW761" s="44"/>
    </row>
    <row r="762" ht="21.0" customHeight="1">
      <c r="A762" s="12"/>
      <c r="B762" s="68"/>
      <c r="C762" s="69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  <c r="AB762" s="44"/>
      <c r="AC762" s="44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  <c r="AQ762" s="44"/>
      <c r="AR762" s="44"/>
      <c r="AS762" s="44"/>
      <c r="AT762" s="44"/>
      <c r="AU762" s="44"/>
      <c r="AV762" s="4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44"/>
      <c r="BP762" s="44"/>
      <c r="BQ762" s="44"/>
      <c r="BR762" s="44"/>
      <c r="BS762" s="44"/>
      <c r="BT762" s="44"/>
      <c r="BU762" s="44"/>
      <c r="BV762" s="44"/>
      <c r="BW762" s="44"/>
    </row>
    <row r="763" ht="21.0" customHeight="1">
      <c r="A763" s="12"/>
      <c r="B763" s="42" t="s">
        <v>692</v>
      </c>
      <c r="C763" s="42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  <c r="AB763" s="44"/>
      <c r="AC763" s="44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  <c r="AQ763" s="44"/>
      <c r="AR763" s="44"/>
      <c r="AS763" s="44"/>
      <c r="AT763" s="44"/>
      <c r="AU763" s="44"/>
      <c r="AV763" s="4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44"/>
      <c r="BP763" s="44"/>
      <c r="BQ763" s="44"/>
      <c r="BR763" s="44"/>
      <c r="BS763" s="44"/>
      <c r="BT763" s="44"/>
      <c r="BU763" s="44"/>
      <c r="BV763" s="44"/>
      <c r="BW763" s="44"/>
    </row>
    <row r="764" ht="21.0" customHeight="1">
      <c r="A764" s="12"/>
      <c r="B764" s="36" t="s">
        <v>693</v>
      </c>
      <c r="C764" s="26" t="str">
        <f>vlookup(B764,'재고 백업'!$A:$B,2,0)</f>
        <v>-</v>
      </c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  <c r="AB764" s="44"/>
      <c r="AC764" s="44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  <c r="AQ764" s="44"/>
      <c r="AR764" s="44"/>
      <c r="AS764" s="44"/>
      <c r="AT764" s="44"/>
      <c r="AU764" s="44"/>
      <c r="AV764" s="4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44"/>
      <c r="BP764" s="44"/>
      <c r="BQ764" s="44"/>
      <c r="BR764" s="44"/>
      <c r="BS764" s="44"/>
      <c r="BT764" s="44"/>
      <c r="BU764" s="44"/>
      <c r="BV764" s="44"/>
      <c r="BW764" s="44"/>
    </row>
    <row r="765" ht="21.0" customHeight="1">
      <c r="A765" s="12"/>
      <c r="B765" s="68"/>
      <c r="C765" s="69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  <c r="AB765" s="44"/>
      <c r="AC765" s="44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  <c r="AQ765" s="44"/>
      <c r="AR765" s="44"/>
      <c r="AS765" s="44"/>
      <c r="AT765" s="44"/>
      <c r="AU765" s="44"/>
      <c r="AV765" s="4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44"/>
      <c r="BP765" s="44"/>
      <c r="BQ765" s="44"/>
      <c r="BR765" s="44"/>
      <c r="BS765" s="44"/>
      <c r="BT765" s="44"/>
      <c r="BU765" s="44"/>
      <c r="BV765" s="44"/>
      <c r="BW765" s="44"/>
    </row>
    <row r="766" ht="21.0" customHeight="1">
      <c r="A766" s="12"/>
      <c r="B766" s="49" t="s">
        <v>694</v>
      </c>
      <c r="C766" s="49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  <c r="AB766" s="44"/>
      <c r="AC766" s="44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  <c r="AQ766" s="44"/>
      <c r="AR766" s="44"/>
      <c r="AS766" s="44"/>
      <c r="AT766" s="44"/>
      <c r="AU766" s="44"/>
      <c r="AV766" s="4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44"/>
      <c r="BP766" s="44"/>
      <c r="BQ766" s="44"/>
      <c r="BR766" s="44"/>
      <c r="BS766" s="44"/>
      <c r="BT766" s="44"/>
      <c r="BU766" s="44"/>
      <c r="BV766" s="44"/>
      <c r="BW766" s="44"/>
    </row>
    <row r="767" ht="21.0" customHeight="1">
      <c r="A767" s="12"/>
      <c r="B767" s="36" t="s">
        <v>695</v>
      </c>
      <c r="C767" s="26">
        <f>vlookup(B767,'재고 백업'!$A:$B,2,0)</f>
        <v>19</v>
      </c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  <c r="AB767" s="44"/>
      <c r="AC767" s="44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  <c r="AQ767" s="44"/>
      <c r="AR767" s="44"/>
      <c r="AS767" s="44"/>
      <c r="AT767" s="44"/>
      <c r="AU767" s="44"/>
      <c r="AV767" s="4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44"/>
      <c r="BP767" s="44"/>
      <c r="BQ767" s="44"/>
      <c r="BR767" s="44"/>
      <c r="BS767" s="44"/>
      <c r="BT767" s="44"/>
      <c r="BU767" s="44"/>
      <c r="BV767" s="44"/>
      <c r="BW767" s="44"/>
    </row>
    <row r="768" ht="21.0" customHeight="1">
      <c r="A768" s="12"/>
      <c r="B768" s="36" t="s">
        <v>696</v>
      </c>
      <c r="C768" s="26">
        <f>vlookup(B768,'재고 백업'!$A:$B,2,0)</f>
        <v>24</v>
      </c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  <c r="AB768" s="44"/>
      <c r="AC768" s="44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  <c r="AQ768" s="44"/>
      <c r="AR768" s="44"/>
      <c r="AS768" s="44"/>
      <c r="AT768" s="44"/>
      <c r="AU768" s="44"/>
      <c r="AV768" s="4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44"/>
      <c r="BP768" s="44"/>
      <c r="BQ768" s="44"/>
      <c r="BR768" s="44"/>
      <c r="BS768" s="44"/>
      <c r="BT768" s="44"/>
      <c r="BU768" s="44"/>
      <c r="BV768" s="44"/>
      <c r="BW768" s="44"/>
    </row>
    <row r="769" ht="21.0" customHeight="1">
      <c r="A769" s="12"/>
      <c r="B769" s="36" t="s">
        <v>697</v>
      </c>
      <c r="C769" s="26" t="str">
        <f>vlookup(B769,'재고 백업'!$A:$B,2,0)</f>
        <v>-</v>
      </c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  <c r="AB769" s="44"/>
      <c r="AC769" s="44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  <c r="AQ769" s="44"/>
      <c r="AR769" s="44"/>
      <c r="AS769" s="44"/>
      <c r="AT769" s="44"/>
      <c r="AU769" s="44"/>
      <c r="AV769" s="4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44"/>
      <c r="BP769" s="44"/>
      <c r="BQ769" s="44"/>
      <c r="BR769" s="44"/>
      <c r="BS769" s="44"/>
      <c r="BT769" s="44"/>
      <c r="BU769" s="44"/>
      <c r="BV769" s="44"/>
      <c r="BW769" s="44"/>
    </row>
    <row r="770" ht="21.0" customHeight="1">
      <c r="A770" s="12"/>
      <c r="B770" s="36" t="s">
        <v>698</v>
      </c>
      <c r="C770" s="26">
        <f>vlookup(B770,'재고 백업'!$A:$B,2,0)</f>
        <v>8</v>
      </c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  <c r="AB770" s="44"/>
      <c r="AC770" s="44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  <c r="AQ770" s="44"/>
      <c r="AR770" s="44"/>
      <c r="AS770" s="44"/>
      <c r="AT770" s="44"/>
      <c r="AU770" s="44"/>
      <c r="AV770" s="4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44"/>
      <c r="BP770" s="44"/>
      <c r="BQ770" s="44"/>
      <c r="BR770" s="44"/>
      <c r="BS770" s="44"/>
      <c r="BT770" s="44"/>
      <c r="BU770" s="44"/>
      <c r="BV770" s="44"/>
      <c r="BW770" s="44"/>
    </row>
    <row r="771" ht="21.0" customHeight="1">
      <c r="A771" s="12"/>
      <c r="B771" s="36" t="s">
        <v>699</v>
      </c>
      <c r="C771" s="26">
        <f>vlookup(B771,'재고 백업'!$A:$B,2,0)</f>
        <v>61</v>
      </c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  <c r="AB771" s="44"/>
      <c r="AC771" s="44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  <c r="AQ771" s="44"/>
      <c r="AR771" s="44"/>
      <c r="AS771" s="44"/>
      <c r="AT771" s="44"/>
      <c r="AU771" s="44"/>
      <c r="AV771" s="4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44"/>
      <c r="BP771" s="44"/>
      <c r="BQ771" s="44"/>
      <c r="BR771" s="44"/>
      <c r="BS771" s="44"/>
      <c r="BT771" s="44"/>
      <c r="BU771" s="44"/>
      <c r="BV771" s="44"/>
      <c r="BW771" s="44"/>
    </row>
    <row r="772" ht="21.0" customHeight="1">
      <c r="A772" s="12"/>
      <c r="B772" s="36" t="s">
        <v>700</v>
      </c>
      <c r="C772" s="26">
        <f>vlookup(B772,'재고 백업'!$A:$B,2,0)</f>
        <v>11</v>
      </c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  <c r="AB772" s="44"/>
      <c r="AC772" s="44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  <c r="AQ772" s="44"/>
      <c r="AR772" s="44"/>
      <c r="AS772" s="44"/>
      <c r="AT772" s="44"/>
      <c r="AU772" s="44"/>
      <c r="AV772" s="4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44"/>
      <c r="BP772" s="44"/>
      <c r="BQ772" s="44"/>
      <c r="BR772" s="44"/>
      <c r="BS772" s="44"/>
      <c r="BT772" s="44"/>
      <c r="BU772" s="44"/>
      <c r="BV772" s="44"/>
      <c r="BW772" s="44"/>
    </row>
    <row r="773" ht="21.0" customHeight="1">
      <c r="A773" s="12"/>
      <c r="B773" s="68"/>
      <c r="C773" s="69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  <c r="AB773" s="44"/>
      <c r="AC773" s="44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  <c r="AQ773" s="44"/>
      <c r="AR773" s="44"/>
      <c r="AS773" s="44"/>
      <c r="AT773" s="44"/>
      <c r="AU773" s="44"/>
      <c r="AV773" s="4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44"/>
      <c r="BP773" s="44"/>
      <c r="BQ773" s="44"/>
      <c r="BR773" s="44"/>
      <c r="BS773" s="44"/>
      <c r="BT773" s="44"/>
      <c r="BU773" s="44"/>
      <c r="BV773" s="44"/>
      <c r="BW773" s="44"/>
    </row>
    <row r="774" ht="21.0" customHeight="1">
      <c r="A774" s="12"/>
      <c r="B774" s="46" t="s">
        <v>701</v>
      </c>
      <c r="C774" s="46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  <c r="AB774" s="44"/>
      <c r="AC774" s="44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  <c r="AQ774" s="44"/>
      <c r="AR774" s="44"/>
      <c r="AS774" s="44"/>
      <c r="AT774" s="44"/>
      <c r="AU774" s="44"/>
      <c r="AV774" s="4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44"/>
      <c r="BP774" s="44"/>
      <c r="BQ774" s="44"/>
      <c r="BR774" s="44"/>
      <c r="BS774" s="44"/>
      <c r="BT774" s="44"/>
      <c r="BU774" s="44"/>
      <c r="BV774" s="44"/>
      <c r="BW774" s="44"/>
    </row>
    <row r="775" ht="21.0" customHeight="1">
      <c r="A775" s="12"/>
      <c r="B775" s="36" t="s">
        <v>702</v>
      </c>
      <c r="C775" s="26">
        <f>vlookup(B775,'재고 백업'!$A:$B,2,0)</f>
        <v>48</v>
      </c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  <c r="AB775" s="44"/>
      <c r="AC775" s="44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  <c r="AQ775" s="44"/>
      <c r="AR775" s="44"/>
      <c r="AS775" s="44"/>
      <c r="AT775" s="44"/>
      <c r="AU775" s="44"/>
      <c r="AV775" s="4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44"/>
      <c r="BP775" s="44"/>
      <c r="BQ775" s="44"/>
      <c r="BR775" s="44"/>
      <c r="BS775" s="44"/>
      <c r="BT775" s="44"/>
      <c r="BU775" s="44"/>
      <c r="BV775" s="44"/>
      <c r="BW775" s="44"/>
    </row>
    <row r="776" ht="21.0" customHeight="1">
      <c r="A776" s="12"/>
      <c r="B776" s="36" t="s">
        <v>703</v>
      </c>
      <c r="C776" s="26" t="str">
        <f>vlookup(B776,'재고 백업'!$A:$B,2,0)</f>
        <v>-</v>
      </c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  <c r="AB776" s="44"/>
      <c r="AC776" s="44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  <c r="AQ776" s="44"/>
      <c r="AR776" s="44"/>
      <c r="AS776" s="44"/>
      <c r="AT776" s="44"/>
      <c r="AU776" s="44"/>
      <c r="AV776" s="4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44"/>
      <c r="BP776" s="44"/>
      <c r="BQ776" s="44"/>
      <c r="BR776" s="44"/>
      <c r="BS776" s="44"/>
      <c r="BT776" s="44"/>
      <c r="BU776" s="44"/>
      <c r="BV776" s="44"/>
      <c r="BW776" s="44"/>
    </row>
    <row r="777" ht="21.0" customHeight="1">
      <c r="A777" s="12"/>
      <c r="B777" s="36" t="s">
        <v>704</v>
      </c>
      <c r="C777" s="26">
        <f>vlookup(B777,'재고 백업'!$A:$B,2,0)</f>
        <v>35</v>
      </c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  <c r="AB777" s="44"/>
      <c r="AC777" s="44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  <c r="AQ777" s="44"/>
      <c r="AR777" s="44"/>
      <c r="AS777" s="44"/>
      <c r="AT777" s="44"/>
      <c r="AU777" s="44"/>
      <c r="AV777" s="4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44"/>
      <c r="BP777" s="44"/>
      <c r="BQ777" s="44"/>
      <c r="BR777" s="44"/>
      <c r="BS777" s="44"/>
      <c r="BT777" s="44"/>
      <c r="BU777" s="44"/>
      <c r="BV777" s="44"/>
      <c r="BW777" s="44"/>
    </row>
    <row r="778" ht="21.0" customHeight="1">
      <c r="A778" s="12"/>
      <c r="B778" s="21" t="s">
        <v>705</v>
      </c>
      <c r="C778" s="26">
        <f>vlookup(B778,'재고 백업'!$A:$B,2,0)</f>
        <v>1</v>
      </c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  <c r="AB778" s="44"/>
      <c r="AC778" s="44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  <c r="AQ778" s="44"/>
      <c r="AR778" s="44"/>
      <c r="AS778" s="44"/>
      <c r="AT778" s="44"/>
      <c r="AU778" s="44"/>
      <c r="AV778" s="4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44"/>
      <c r="BP778" s="44"/>
      <c r="BQ778" s="44"/>
      <c r="BR778" s="44"/>
      <c r="BS778" s="44"/>
      <c r="BT778" s="44"/>
      <c r="BU778" s="44"/>
      <c r="BV778" s="44"/>
      <c r="BW778" s="44"/>
    </row>
    <row r="779" ht="21.0" customHeight="1">
      <c r="A779" s="12"/>
      <c r="B779" s="70" t="s">
        <v>706</v>
      </c>
      <c r="C779" s="26">
        <f>vlookup(B779,'재고 백업'!$A:$B,2,0)</f>
        <v>26</v>
      </c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  <c r="AB779" s="44"/>
      <c r="AC779" s="44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  <c r="AQ779" s="44"/>
      <c r="AR779" s="44"/>
      <c r="AS779" s="44"/>
      <c r="AT779" s="44"/>
      <c r="AU779" s="44"/>
      <c r="AV779" s="4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44"/>
      <c r="BP779" s="44"/>
      <c r="BQ779" s="44"/>
      <c r="BR779" s="44"/>
      <c r="BS779" s="44"/>
      <c r="BT779" s="44"/>
      <c r="BU779" s="44"/>
      <c r="BV779" s="44"/>
      <c r="BW779" s="44"/>
    </row>
    <row r="780" ht="21.0" customHeight="1">
      <c r="A780" s="12"/>
      <c r="B780" s="70" t="s">
        <v>707</v>
      </c>
      <c r="C780" s="26" t="str">
        <f>vlookup(B780,'재고 백업'!$A:$B,2,0)</f>
        <v>-</v>
      </c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  <c r="AB780" s="44"/>
      <c r="AC780" s="44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  <c r="AQ780" s="44"/>
      <c r="AR780" s="44"/>
      <c r="AS780" s="44"/>
      <c r="AT780" s="44"/>
      <c r="AU780" s="44"/>
      <c r="AV780" s="4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44"/>
      <c r="BP780" s="44"/>
      <c r="BQ780" s="44"/>
      <c r="BR780" s="44"/>
      <c r="BS780" s="44"/>
      <c r="BT780" s="44"/>
      <c r="BU780" s="44"/>
      <c r="BV780" s="44"/>
      <c r="BW780" s="44"/>
    </row>
    <row r="781" ht="21.0" customHeight="1">
      <c r="A781" s="12"/>
      <c r="B781" s="70" t="s">
        <v>708</v>
      </c>
      <c r="C781" s="21" t="str">
        <f>vlookup(B781,'재고 백업'!$A:$B,2,0)</f>
        <v>#N/A</v>
      </c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  <c r="AB781" s="44"/>
      <c r="AC781" s="44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  <c r="AQ781" s="44"/>
      <c r="AR781" s="44"/>
      <c r="AS781" s="44"/>
      <c r="AT781" s="44"/>
      <c r="AU781" s="44"/>
      <c r="AV781" s="4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44"/>
      <c r="BP781" s="44"/>
      <c r="BQ781" s="44"/>
      <c r="BR781" s="44"/>
      <c r="BS781" s="44"/>
      <c r="BT781" s="44"/>
      <c r="BU781" s="44"/>
      <c r="BV781" s="44"/>
      <c r="BW781" s="44"/>
    </row>
    <row r="782" ht="21.0" customHeight="1">
      <c r="A782" s="12"/>
      <c r="B782" s="34"/>
      <c r="C782" s="3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  <c r="AQ782" s="44"/>
      <c r="AR782" s="44"/>
      <c r="AS782" s="44"/>
      <c r="AT782" s="44"/>
      <c r="AU782" s="44"/>
      <c r="AV782" s="4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44"/>
      <c r="BP782" s="44"/>
      <c r="BQ782" s="44"/>
      <c r="BR782" s="44"/>
      <c r="BS782" s="44"/>
      <c r="BT782" s="44"/>
      <c r="BU782" s="44"/>
      <c r="BV782" s="44"/>
      <c r="BW782" s="44"/>
    </row>
    <row r="783" ht="21.0" customHeight="1">
      <c r="A783" s="12"/>
      <c r="B783" s="71" t="s">
        <v>709</v>
      </c>
      <c r="C783" s="71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  <c r="AB783" s="44"/>
      <c r="AC783" s="44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  <c r="AQ783" s="44"/>
      <c r="AR783" s="44"/>
      <c r="AS783" s="44"/>
      <c r="AT783" s="44"/>
      <c r="AU783" s="44"/>
      <c r="AV783" s="4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44"/>
      <c r="BP783" s="44"/>
      <c r="BQ783" s="44"/>
      <c r="BR783" s="44"/>
      <c r="BS783" s="44"/>
      <c r="BT783" s="44"/>
      <c r="BU783" s="44"/>
      <c r="BV783" s="44"/>
      <c r="BW783" s="44"/>
    </row>
    <row r="784" ht="21.0" customHeight="1">
      <c r="A784" s="12"/>
      <c r="B784" s="36" t="s">
        <v>710</v>
      </c>
      <c r="C784" s="26">
        <f>vlookup(B784,'재고 백업'!$A:$B,2,0)</f>
        <v>77</v>
      </c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  <c r="AB784" s="44"/>
      <c r="AC784" s="44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  <c r="AQ784" s="44"/>
      <c r="AR784" s="44"/>
      <c r="AS784" s="44"/>
      <c r="AT784" s="44"/>
      <c r="AU784" s="44"/>
      <c r="AV784" s="4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44"/>
      <c r="BP784" s="44"/>
      <c r="BQ784" s="44"/>
      <c r="BR784" s="44"/>
      <c r="BS784" s="44"/>
      <c r="BT784" s="44"/>
      <c r="BU784" s="44"/>
      <c r="BV784" s="44"/>
      <c r="BW784" s="44"/>
    </row>
    <row r="785" ht="21.0" customHeight="1">
      <c r="A785" s="12"/>
      <c r="B785" s="36" t="s">
        <v>711</v>
      </c>
      <c r="C785" s="26">
        <f>vlookup(B785,'재고 백업'!$A:$B,2,0)</f>
        <v>8</v>
      </c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  <c r="AB785" s="44"/>
      <c r="AC785" s="44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  <c r="AQ785" s="44"/>
      <c r="AR785" s="44"/>
      <c r="AS785" s="44"/>
      <c r="AT785" s="44"/>
      <c r="AU785" s="44"/>
      <c r="AV785" s="4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44"/>
      <c r="BP785" s="44"/>
      <c r="BQ785" s="44"/>
      <c r="BR785" s="44"/>
      <c r="BS785" s="44"/>
      <c r="BT785" s="44"/>
      <c r="BU785" s="44"/>
      <c r="BV785" s="44"/>
      <c r="BW785" s="44"/>
    </row>
    <row r="786" ht="21.0" customHeight="1">
      <c r="A786" s="12"/>
      <c r="B786" s="36" t="s">
        <v>712</v>
      </c>
      <c r="C786" s="26">
        <f>vlookup(B786,'재고 백업'!$A:$B,2,0)</f>
        <v>257</v>
      </c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  <c r="AB786" s="44"/>
      <c r="AC786" s="44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  <c r="AQ786" s="44"/>
      <c r="AR786" s="44"/>
      <c r="AS786" s="44"/>
      <c r="AT786" s="44"/>
      <c r="AU786" s="44"/>
      <c r="AV786" s="4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44"/>
      <c r="BP786" s="44"/>
      <c r="BQ786" s="44"/>
      <c r="BR786" s="44"/>
      <c r="BS786" s="44"/>
      <c r="BT786" s="44"/>
      <c r="BU786" s="44"/>
      <c r="BV786" s="44"/>
      <c r="BW786" s="44"/>
    </row>
    <row r="787" ht="21.0" customHeight="1">
      <c r="A787" s="12"/>
      <c r="B787" s="36" t="s">
        <v>713</v>
      </c>
      <c r="C787" s="26">
        <f>vlookup(B787,'재고 백업'!$A:$B,2,0)</f>
        <v>27</v>
      </c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  <c r="AB787" s="44"/>
      <c r="AC787" s="44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  <c r="AQ787" s="44"/>
      <c r="AR787" s="44"/>
      <c r="AS787" s="44"/>
      <c r="AT787" s="44"/>
      <c r="AU787" s="44"/>
      <c r="AV787" s="4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44"/>
      <c r="BP787" s="44"/>
      <c r="BQ787" s="44"/>
      <c r="BR787" s="44"/>
      <c r="BS787" s="44"/>
      <c r="BT787" s="44"/>
      <c r="BU787" s="44"/>
      <c r="BV787" s="44"/>
      <c r="BW787" s="44"/>
    </row>
    <row r="788" ht="21.0" customHeight="1">
      <c r="A788" s="12"/>
      <c r="B788" s="36" t="s">
        <v>714</v>
      </c>
      <c r="C788" s="26">
        <f>vlookup(B788,'재고 백업'!$A:$B,2,0)</f>
        <v>20</v>
      </c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  <c r="BI788" s="25"/>
      <c r="BJ788" s="25"/>
      <c r="BK788" s="25"/>
      <c r="BL788" s="25"/>
      <c r="BM788" s="25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</row>
    <row r="789" ht="21.0" customHeight="1">
      <c r="A789" s="12"/>
      <c r="B789" s="36" t="s">
        <v>715</v>
      </c>
      <c r="C789" s="26">
        <f>vlookup(B789,'재고 백업'!$A:$B,2,0)</f>
        <v>152</v>
      </c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  <c r="AB789" s="44"/>
      <c r="AC789" s="44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  <c r="AQ789" s="44"/>
      <c r="AR789" s="44"/>
      <c r="AS789" s="44"/>
      <c r="AT789" s="44"/>
      <c r="AU789" s="44"/>
      <c r="AV789" s="4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44"/>
      <c r="BP789" s="44"/>
      <c r="BQ789" s="44"/>
      <c r="BR789" s="44"/>
      <c r="BS789" s="44"/>
      <c r="BT789" s="44"/>
      <c r="BU789" s="44"/>
      <c r="BV789" s="44"/>
      <c r="BW789" s="44"/>
    </row>
    <row r="790" ht="21.0" customHeight="1">
      <c r="A790" s="12"/>
      <c r="B790" s="36" t="s">
        <v>716</v>
      </c>
      <c r="C790" s="26">
        <f>vlookup(B790,'재고 백업'!$A:$B,2,0)</f>
        <v>20</v>
      </c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  <c r="AQ790" s="44"/>
      <c r="AR790" s="44"/>
      <c r="AS790" s="44"/>
      <c r="AT790" s="44"/>
      <c r="AU790" s="44"/>
      <c r="AV790" s="4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44"/>
      <c r="BP790" s="44"/>
      <c r="BQ790" s="44"/>
      <c r="BR790" s="44"/>
      <c r="BS790" s="44"/>
      <c r="BT790" s="44"/>
      <c r="BU790" s="44"/>
      <c r="BV790" s="44"/>
      <c r="BW790" s="44"/>
    </row>
    <row r="791" ht="21.0" customHeight="1">
      <c r="A791" s="12"/>
      <c r="B791" s="36" t="s">
        <v>717</v>
      </c>
      <c r="C791" s="26">
        <f>vlookup(B791,'재고 백업'!$A:$B,2,0)</f>
        <v>30</v>
      </c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  <c r="AQ791" s="72"/>
      <c r="AR791" s="72"/>
      <c r="AS791" s="72"/>
      <c r="AT791" s="72"/>
      <c r="AU791" s="72"/>
      <c r="AV791" s="72"/>
      <c r="AW791" s="72"/>
      <c r="AX791" s="72"/>
      <c r="AY791" s="72"/>
      <c r="AZ791" s="72"/>
      <c r="BA791" s="72"/>
      <c r="BB791" s="72"/>
      <c r="BC791" s="72"/>
      <c r="BD791" s="72"/>
      <c r="BE791" s="72"/>
      <c r="BF791" s="72"/>
      <c r="BG791" s="72"/>
      <c r="BH791" s="72"/>
      <c r="BI791" s="72"/>
      <c r="BJ791" s="72"/>
      <c r="BK791" s="72"/>
      <c r="BL791" s="72"/>
      <c r="BM791" s="72"/>
      <c r="BN791" s="72"/>
      <c r="BO791" s="72"/>
      <c r="BP791" s="72"/>
      <c r="BQ791" s="72"/>
      <c r="BR791" s="72"/>
      <c r="BS791" s="72"/>
      <c r="BT791" s="72"/>
      <c r="BU791" s="72"/>
      <c r="BV791" s="72"/>
      <c r="BW791" s="72"/>
    </row>
    <row r="792" ht="21.0" customHeight="1">
      <c r="A792" s="12"/>
      <c r="B792" s="36" t="s">
        <v>718</v>
      </c>
      <c r="C792" s="26">
        <f>vlookup(B792,'재고 백업'!$A:$B,2,0)</f>
        <v>60</v>
      </c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  <c r="AQ792" s="72"/>
      <c r="AR792" s="72"/>
      <c r="AS792" s="72"/>
      <c r="AT792" s="72"/>
      <c r="AU792" s="72"/>
      <c r="AV792" s="72"/>
      <c r="AW792" s="72"/>
      <c r="AX792" s="72"/>
      <c r="AY792" s="72"/>
      <c r="AZ792" s="72"/>
      <c r="BA792" s="72"/>
      <c r="BB792" s="72"/>
      <c r="BC792" s="72"/>
      <c r="BD792" s="72"/>
      <c r="BE792" s="72"/>
      <c r="BF792" s="72"/>
      <c r="BG792" s="72"/>
      <c r="BH792" s="72"/>
      <c r="BI792" s="72"/>
      <c r="BJ792" s="72"/>
      <c r="BK792" s="72"/>
      <c r="BL792" s="72"/>
      <c r="BM792" s="72"/>
      <c r="BN792" s="72"/>
      <c r="BO792" s="72"/>
      <c r="BP792" s="72"/>
      <c r="BQ792" s="72"/>
      <c r="BR792" s="72"/>
      <c r="BS792" s="72"/>
      <c r="BT792" s="72"/>
      <c r="BU792" s="72"/>
      <c r="BV792" s="72"/>
      <c r="BW792" s="72"/>
    </row>
    <row r="793" ht="21.0" customHeight="1">
      <c r="A793" s="12"/>
      <c r="B793" s="36" t="s">
        <v>719</v>
      </c>
      <c r="C793" s="26">
        <f>vlookup(B793,'재고 백업'!$A:$B,2,0)</f>
        <v>21</v>
      </c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  <c r="AQ793" s="72"/>
      <c r="AR793" s="72"/>
      <c r="AS793" s="72"/>
      <c r="AT793" s="72"/>
      <c r="AU793" s="72"/>
      <c r="AV793" s="72"/>
      <c r="AW793" s="72"/>
      <c r="AX793" s="72"/>
      <c r="AY793" s="72"/>
      <c r="AZ793" s="72"/>
      <c r="BA793" s="72"/>
      <c r="BB793" s="72"/>
      <c r="BC793" s="72"/>
      <c r="BD793" s="72"/>
      <c r="BE793" s="72"/>
      <c r="BF793" s="72"/>
      <c r="BG793" s="72"/>
      <c r="BH793" s="72"/>
      <c r="BI793" s="72"/>
      <c r="BJ793" s="72"/>
      <c r="BK793" s="72"/>
      <c r="BL793" s="72"/>
      <c r="BM793" s="72"/>
      <c r="BN793" s="72"/>
      <c r="BO793" s="72"/>
      <c r="BP793" s="72"/>
      <c r="BQ793" s="72"/>
      <c r="BR793" s="72"/>
      <c r="BS793" s="72"/>
      <c r="BT793" s="72"/>
      <c r="BU793" s="72"/>
      <c r="BV793" s="72"/>
      <c r="BW793" s="72"/>
    </row>
    <row r="794" ht="21.0" customHeight="1">
      <c r="A794" s="12"/>
      <c r="B794" s="36" t="s">
        <v>720</v>
      </c>
      <c r="C794" s="26">
        <f>vlookup(B794,'재고 백업'!$A:$B,2,0)</f>
        <v>7</v>
      </c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  <c r="AQ794" s="72"/>
      <c r="AR794" s="72"/>
      <c r="AS794" s="72"/>
      <c r="AT794" s="72"/>
      <c r="AU794" s="72"/>
      <c r="AV794" s="72"/>
      <c r="AW794" s="72"/>
      <c r="AX794" s="72"/>
      <c r="AY794" s="72"/>
      <c r="AZ794" s="72"/>
      <c r="BA794" s="72"/>
      <c r="BB794" s="72"/>
      <c r="BC794" s="72"/>
      <c r="BD794" s="72"/>
      <c r="BE794" s="72"/>
      <c r="BF794" s="72"/>
      <c r="BG794" s="72"/>
      <c r="BH794" s="72"/>
      <c r="BI794" s="72"/>
      <c r="BJ794" s="72"/>
      <c r="BK794" s="72"/>
      <c r="BL794" s="72"/>
      <c r="BM794" s="72"/>
      <c r="BN794" s="72"/>
      <c r="BO794" s="72"/>
      <c r="BP794" s="72"/>
      <c r="BQ794" s="72"/>
      <c r="BR794" s="72"/>
      <c r="BS794" s="72"/>
      <c r="BT794" s="72"/>
      <c r="BU794" s="72"/>
      <c r="BV794" s="72"/>
      <c r="BW794" s="72"/>
    </row>
    <row r="795" ht="21.0" customHeight="1">
      <c r="A795" s="12"/>
      <c r="B795" s="34"/>
      <c r="C795" s="34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  <c r="AQ795" s="72"/>
      <c r="AR795" s="72"/>
      <c r="AS795" s="72"/>
      <c r="AT795" s="72"/>
      <c r="AU795" s="72"/>
      <c r="AV795" s="72"/>
      <c r="AW795" s="72"/>
      <c r="AX795" s="72"/>
      <c r="AY795" s="72"/>
      <c r="AZ795" s="72"/>
      <c r="BA795" s="72"/>
      <c r="BB795" s="72"/>
      <c r="BC795" s="72"/>
      <c r="BD795" s="72"/>
      <c r="BE795" s="72"/>
      <c r="BF795" s="72"/>
      <c r="BG795" s="72"/>
      <c r="BH795" s="72"/>
      <c r="BI795" s="72"/>
      <c r="BJ795" s="72"/>
      <c r="BK795" s="72"/>
      <c r="BL795" s="72"/>
      <c r="BM795" s="72"/>
      <c r="BN795" s="72"/>
      <c r="BO795" s="72"/>
      <c r="BP795" s="72"/>
      <c r="BQ795" s="72"/>
      <c r="BR795" s="72"/>
      <c r="BS795" s="72"/>
      <c r="BT795" s="72"/>
      <c r="BU795" s="72"/>
      <c r="BV795" s="72"/>
      <c r="BW795" s="72"/>
    </row>
    <row r="796" ht="21.0" customHeight="1">
      <c r="A796" s="12"/>
      <c r="B796" s="73" t="s">
        <v>721</v>
      </c>
      <c r="C796" s="73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  <c r="AQ796" s="72"/>
      <c r="AR796" s="72"/>
      <c r="AS796" s="72"/>
      <c r="AT796" s="72"/>
      <c r="AU796" s="72"/>
      <c r="AV796" s="72"/>
      <c r="AW796" s="72"/>
      <c r="AX796" s="72"/>
      <c r="AY796" s="72"/>
      <c r="AZ796" s="72"/>
      <c r="BA796" s="72"/>
      <c r="BB796" s="72"/>
      <c r="BC796" s="72"/>
      <c r="BD796" s="72"/>
      <c r="BE796" s="72"/>
      <c r="BF796" s="72"/>
      <c r="BG796" s="72"/>
      <c r="BH796" s="72"/>
      <c r="BI796" s="72"/>
      <c r="BJ796" s="72"/>
      <c r="BK796" s="72"/>
      <c r="BL796" s="72"/>
      <c r="BM796" s="72"/>
      <c r="BN796" s="72"/>
      <c r="BO796" s="72"/>
      <c r="BP796" s="72"/>
      <c r="BQ796" s="72"/>
      <c r="BR796" s="72"/>
      <c r="BS796" s="72"/>
      <c r="BT796" s="72"/>
      <c r="BU796" s="72"/>
      <c r="BV796" s="72"/>
      <c r="BW796" s="72"/>
    </row>
    <row r="797" ht="21.0" customHeight="1">
      <c r="A797" s="12"/>
      <c r="B797" s="36" t="s">
        <v>722</v>
      </c>
      <c r="C797" s="26">
        <f>vlookup(B797,'재고 백업'!$A:$B,2,0)</f>
        <v>48</v>
      </c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  <c r="AQ797" s="72"/>
      <c r="AR797" s="72"/>
      <c r="AS797" s="72"/>
      <c r="AT797" s="72"/>
      <c r="AU797" s="72"/>
      <c r="AV797" s="72"/>
      <c r="AW797" s="72"/>
      <c r="AX797" s="72"/>
      <c r="AY797" s="72"/>
      <c r="AZ797" s="72"/>
      <c r="BA797" s="72"/>
      <c r="BB797" s="72"/>
      <c r="BC797" s="72"/>
      <c r="BD797" s="72"/>
      <c r="BE797" s="72"/>
      <c r="BF797" s="72"/>
      <c r="BG797" s="72"/>
      <c r="BH797" s="72"/>
      <c r="BI797" s="72"/>
      <c r="BJ797" s="72"/>
      <c r="BK797" s="72"/>
      <c r="BL797" s="72"/>
      <c r="BM797" s="72"/>
      <c r="BN797" s="72"/>
      <c r="BO797" s="72"/>
      <c r="BP797" s="72"/>
      <c r="BQ797" s="72"/>
      <c r="BR797" s="72"/>
      <c r="BS797" s="72"/>
      <c r="BT797" s="72"/>
      <c r="BU797" s="72"/>
      <c r="BV797" s="72"/>
      <c r="BW797" s="72"/>
    </row>
    <row r="798" ht="21.0" customHeight="1">
      <c r="A798" s="12"/>
      <c r="B798" s="36" t="s">
        <v>723</v>
      </c>
      <c r="C798" s="26">
        <f>vlookup(B798,'재고 백업'!$A:$B,2,0)</f>
        <v>48</v>
      </c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  <c r="AQ798" s="72"/>
      <c r="AR798" s="72"/>
      <c r="AS798" s="72"/>
      <c r="AT798" s="72"/>
      <c r="AU798" s="72"/>
      <c r="AV798" s="72"/>
      <c r="AW798" s="72"/>
      <c r="AX798" s="72"/>
      <c r="AY798" s="72"/>
      <c r="AZ798" s="72"/>
      <c r="BA798" s="72"/>
      <c r="BB798" s="72"/>
      <c r="BC798" s="72"/>
      <c r="BD798" s="72"/>
      <c r="BE798" s="72"/>
      <c r="BF798" s="72"/>
      <c r="BG798" s="72"/>
      <c r="BH798" s="72"/>
      <c r="BI798" s="72"/>
      <c r="BJ798" s="72"/>
      <c r="BK798" s="72"/>
      <c r="BL798" s="72"/>
      <c r="BM798" s="72"/>
      <c r="BN798" s="72"/>
      <c r="BO798" s="72"/>
      <c r="BP798" s="72"/>
      <c r="BQ798" s="72"/>
      <c r="BR798" s="72"/>
      <c r="BS798" s="72"/>
      <c r="BT798" s="72"/>
      <c r="BU798" s="72"/>
      <c r="BV798" s="72"/>
      <c r="BW798" s="72"/>
    </row>
    <row r="799" ht="21.0" customHeight="1">
      <c r="A799" s="12"/>
      <c r="B799" s="36" t="s">
        <v>724</v>
      </c>
      <c r="C799" s="26">
        <f>vlookup(B799,'재고 백업'!$A:$B,2,0)</f>
        <v>48</v>
      </c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  <c r="AQ799" s="72"/>
      <c r="AR799" s="72"/>
      <c r="AS799" s="72"/>
      <c r="AT799" s="72"/>
      <c r="AU799" s="72"/>
      <c r="AV799" s="72"/>
      <c r="AW799" s="72"/>
      <c r="AX799" s="72"/>
      <c r="AY799" s="72"/>
      <c r="AZ799" s="72"/>
      <c r="BA799" s="72"/>
      <c r="BB799" s="72"/>
      <c r="BC799" s="72"/>
      <c r="BD799" s="72"/>
      <c r="BE799" s="72"/>
      <c r="BF799" s="72"/>
      <c r="BG799" s="72"/>
      <c r="BH799" s="72"/>
      <c r="BI799" s="72"/>
      <c r="BJ799" s="72"/>
      <c r="BK799" s="72"/>
      <c r="BL799" s="72"/>
      <c r="BM799" s="72"/>
      <c r="BN799" s="72"/>
      <c r="BO799" s="72"/>
      <c r="BP799" s="72"/>
      <c r="BQ799" s="72"/>
      <c r="BR799" s="72"/>
      <c r="BS799" s="72"/>
      <c r="BT799" s="72"/>
      <c r="BU799" s="72"/>
      <c r="BV799" s="72"/>
      <c r="BW799" s="72"/>
    </row>
    <row r="800" ht="21.0" customHeight="1">
      <c r="A800" s="12"/>
      <c r="B800" s="36" t="s">
        <v>725</v>
      </c>
      <c r="C800" s="26">
        <f>vlookup(B800,'재고 백업'!$A:$B,2,0)</f>
        <v>48</v>
      </c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  <c r="AQ800" s="72"/>
      <c r="AR800" s="72"/>
      <c r="AS800" s="72"/>
      <c r="AT800" s="72"/>
      <c r="AU800" s="72"/>
      <c r="AV800" s="72"/>
      <c r="AW800" s="72"/>
      <c r="AX800" s="72"/>
      <c r="AY800" s="72"/>
      <c r="AZ800" s="72"/>
      <c r="BA800" s="72"/>
      <c r="BB800" s="72"/>
      <c r="BC800" s="72"/>
      <c r="BD800" s="72"/>
      <c r="BE800" s="72"/>
      <c r="BF800" s="72"/>
      <c r="BG800" s="72"/>
      <c r="BH800" s="72"/>
      <c r="BI800" s="72"/>
      <c r="BJ800" s="72"/>
      <c r="BK800" s="72"/>
      <c r="BL800" s="72"/>
      <c r="BM800" s="72"/>
      <c r="BN800" s="72"/>
      <c r="BO800" s="72"/>
      <c r="BP800" s="72"/>
      <c r="BQ800" s="72"/>
      <c r="BR800" s="72"/>
      <c r="BS800" s="72"/>
      <c r="BT800" s="72"/>
      <c r="BU800" s="72"/>
      <c r="BV800" s="72"/>
      <c r="BW800" s="72"/>
    </row>
    <row r="801" ht="21.0" customHeight="1">
      <c r="A801" s="12"/>
      <c r="B801" s="36" t="s">
        <v>726</v>
      </c>
      <c r="C801" s="26">
        <f>vlookup(B801,'재고 백업'!$A:$B,2,0)</f>
        <v>43</v>
      </c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  <c r="AQ801" s="72"/>
      <c r="AR801" s="72"/>
      <c r="AS801" s="72"/>
      <c r="AT801" s="72"/>
      <c r="AU801" s="72"/>
      <c r="AV801" s="72"/>
      <c r="AW801" s="72"/>
      <c r="AX801" s="72"/>
      <c r="AY801" s="72"/>
      <c r="AZ801" s="72"/>
      <c r="BA801" s="72"/>
      <c r="BB801" s="72"/>
      <c r="BC801" s="72"/>
      <c r="BD801" s="72"/>
      <c r="BE801" s="72"/>
      <c r="BF801" s="72"/>
      <c r="BG801" s="72"/>
      <c r="BH801" s="72"/>
      <c r="BI801" s="72"/>
      <c r="BJ801" s="72"/>
      <c r="BK801" s="72"/>
      <c r="BL801" s="72"/>
      <c r="BM801" s="72"/>
      <c r="BN801" s="72"/>
      <c r="BO801" s="72"/>
      <c r="BP801" s="72"/>
      <c r="BQ801" s="72"/>
      <c r="BR801" s="72"/>
      <c r="BS801" s="72"/>
      <c r="BT801" s="72"/>
      <c r="BU801" s="72"/>
      <c r="BV801" s="72"/>
      <c r="BW801" s="72"/>
    </row>
    <row r="802" ht="21.0" customHeight="1">
      <c r="A802" s="12"/>
      <c r="B802" s="36" t="s">
        <v>727</v>
      </c>
      <c r="C802" s="26">
        <f>vlookup(B802,'재고 백업'!$A:$B,2,0)</f>
        <v>2</v>
      </c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  <c r="AQ802" s="72"/>
      <c r="AR802" s="72"/>
      <c r="AS802" s="72"/>
      <c r="AT802" s="72"/>
      <c r="AU802" s="72"/>
      <c r="AV802" s="72"/>
      <c r="AW802" s="72"/>
      <c r="AX802" s="72"/>
      <c r="AY802" s="72"/>
      <c r="AZ802" s="72"/>
      <c r="BA802" s="72"/>
      <c r="BB802" s="72"/>
      <c r="BC802" s="72"/>
      <c r="BD802" s="72"/>
      <c r="BE802" s="72"/>
      <c r="BF802" s="72"/>
      <c r="BG802" s="72"/>
      <c r="BH802" s="72"/>
      <c r="BI802" s="72"/>
      <c r="BJ802" s="72"/>
      <c r="BK802" s="72"/>
      <c r="BL802" s="72"/>
      <c r="BM802" s="72"/>
      <c r="BN802" s="72"/>
      <c r="BO802" s="72"/>
      <c r="BP802" s="72"/>
      <c r="BQ802" s="72"/>
      <c r="BR802" s="72"/>
      <c r="BS802" s="72"/>
      <c r="BT802" s="72"/>
      <c r="BU802" s="72"/>
      <c r="BV802" s="72"/>
      <c r="BW802" s="72"/>
    </row>
    <row r="803" ht="21.0" customHeight="1">
      <c r="A803" s="12"/>
      <c r="B803" s="36" t="s">
        <v>728</v>
      </c>
      <c r="C803" s="26">
        <f>vlookup(B803,'재고 백업'!$A:$B,2,0)</f>
        <v>38</v>
      </c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  <c r="AQ803" s="72"/>
      <c r="AR803" s="72"/>
      <c r="AS803" s="72"/>
      <c r="AT803" s="72"/>
      <c r="AU803" s="72"/>
      <c r="AV803" s="72"/>
      <c r="AW803" s="72"/>
      <c r="AX803" s="72"/>
      <c r="AY803" s="72"/>
      <c r="AZ803" s="72"/>
      <c r="BA803" s="72"/>
      <c r="BB803" s="72"/>
      <c r="BC803" s="72"/>
      <c r="BD803" s="72"/>
      <c r="BE803" s="72"/>
      <c r="BF803" s="72"/>
      <c r="BG803" s="72"/>
      <c r="BH803" s="72"/>
      <c r="BI803" s="72"/>
      <c r="BJ803" s="72"/>
      <c r="BK803" s="72"/>
      <c r="BL803" s="72"/>
      <c r="BM803" s="72"/>
      <c r="BN803" s="72"/>
      <c r="BO803" s="72"/>
      <c r="BP803" s="72"/>
      <c r="BQ803" s="72"/>
      <c r="BR803" s="72"/>
      <c r="BS803" s="72"/>
      <c r="BT803" s="72"/>
      <c r="BU803" s="72"/>
      <c r="BV803" s="72"/>
      <c r="BW803" s="72"/>
    </row>
    <row r="804" ht="21.0" customHeight="1">
      <c r="A804" s="12"/>
      <c r="B804" s="36" t="s">
        <v>729</v>
      </c>
      <c r="C804" s="26">
        <f>vlookup(B804,'재고 백업'!$A:$B,2,0)</f>
        <v>96</v>
      </c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  <c r="AQ804" s="72"/>
      <c r="AR804" s="72"/>
      <c r="AS804" s="72"/>
      <c r="AT804" s="72"/>
      <c r="AU804" s="72"/>
      <c r="AV804" s="72"/>
      <c r="AW804" s="72"/>
      <c r="AX804" s="72"/>
      <c r="AY804" s="72"/>
      <c r="AZ804" s="72"/>
      <c r="BA804" s="72"/>
      <c r="BB804" s="72"/>
      <c r="BC804" s="72"/>
      <c r="BD804" s="72"/>
      <c r="BE804" s="72"/>
      <c r="BF804" s="72"/>
      <c r="BG804" s="72"/>
      <c r="BH804" s="72"/>
      <c r="BI804" s="72"/>
      <c r="BJ804" s="72"/>
      <c r="BK804" s="72"/>
      <c r="BL804" s="72"/>
      <c r="BM804" s="72"/>
      <c r="BN804" s="72"/>
      <c r="BO804" s="72"/>
      <c r="BP804" s="72"/>
      <c r="BQ804" s="72"/>
      <c r="BR804" s="72"/>
      <c r="BS804" s="72"/>
      <c r="BT804" s="72"/>
      <c r="BU804" s="72"/>
      <c r="BV804" s="72"/>
      <c r="BW804" s="72"/>
    </row>
    <row r="805" ht="21.0" customHeight="1">
      <c r="A805" s="12"/>
      <c r="B805" s="36" t="s">
        <v>730</v>
      </c>
      <c r="C805" s="26">
        <f>vlookup(B805,'재고 백업'!$A:$B,2,0)</f>
        <v>40</v>
      </c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  <c r="AQ805" s="72"/>
      <c r="AR805" s="72"/>
      <c r="AS805" s="72"/>
      <c r="AT805" s="72"/>
      <c r="AU805" s="72"/>
      <c r="AV805" s="72"/>
      <c r="AW805" s="72"/>
      <c r="AX805" s="72"/>
      <c r="AY805" s="72"/>
      <c r="AZ805" s="72"/>
      <c r="BA805" s="72"/>
      <c r="BB805" s="72"/>
      <c r="BC805" s="72"/>
      <c r="BD805" s="72"/>
      <c r="BE805" s="72"/>
      <c r="BF805" s="72"/>
      <c r="BG805" s="72"/>
      <c r="BH805" s="72"/>
      <c r="BI805" s="72"/>
      <c r="BJ805" s="72"/>
      <c r="BK805" s="72"/>
      <c r="BL805" s="72"/>
      <c r="BM805" s="72"/>
      <c r="BN805" s="72"/>
      <c r="BO805" s="72"/>
      <c r="BP805" s="72"/>
      <c r="BQ805" s="72"/>
      <c r="BR805" s="72"/>
      <c r="BS805" s="72"/>
      <c r="BT805" s="72"/>
      <c r="BU805" s="72"/>
      <c r="BV805" s="72"/>
      <c r="BW805" s="72"/>
    </row>
    <row r="806" ht="21.0" customHeight="1">
      <c r="A806" s="12"/>
      <c r="B806" s="36" t="s">
        <v>731</v>
      </c>
      <c r="C806" s="26">
        <f>vlookup(B806,'재고 백업'!$A:$B,2,0)</f>
        <v>34</v>
      </c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  <c r="AQ806" s="72"/>
      <c r="AR806" s="72"/>
      <c r="AS806" s="72"/>
      <c r="AT806" s="72"/>
      <c r="AU806" s="72"/>
      <c r="AV806" s="72"/>
      <c r="AW806" s="72"/>
      <c r="AX806" s="72"/>
      <c r="AY806" s="72"/>
      <c r="AZ806" s="72"/>
      <c r="BA806" s="72"/>
      <c r="BB806" s="72"/>
      <c r="BC806" s="72"/>
      <c r="BD806" s="72"/>
      <c r="BE806" s="72"/>
      <c r="BF806" s="72"/>
      <c r="BG806" s="72"/>
      <c r="BH806" s="72"/>
      <c r="BI806" s="72"/>
      <c r="BJ806" s="72"/>
      <c r="BK806" s="72"/>
      <c r="BL806" s="72"/>
      <c r="BM806" s="72"/>
      <c r="BN806" s="72"/>
      <c r="BO806" s="72"/>
      <c r="BP806" s="72"/>
      <c r="BQ806" s="72"/>
      <c r="BR806" s="72"/>
      <c r="BS806" s="72"/>
      <c r="BT806" s="72"/>
      <c r="BU806" s="72"/>
      <c r="BV806" s="72"/>
      <c r="BW806" s="72"/>
    </row>
    <row r="807" ht="21.0" customHeight="1">
      <c r="A807" s="12"/>
      <c r="B807" s="36" t="s">
        <v>732</v>
      </c>
      <c r="C807" s="26">
        <f>vlookup(B807,'재고 백업'!$A:$B,2,0)</f>
        <v>40</v>
      </c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  <c r="AQ807" s="72"/>
      <c r="AR807" s="72"/>
      <c r="AS807" s="72"/>
      <c r="AT807" s="72"/>
      <c r="AU807" s="72"/>
      <c r="AV807" s="72"/>
      <c r="AW807" s="72"/>
      <c r="AX807" s="72"/>
      <c r="AY807" s="72"/>
      <c r="AZ807" s="72"/>
      <c r="BA807" s="72"/>
      <c r="BB807" s="72"/>
      <c r="BC807" s="72"/>
      <c r="BD807" s="72"/>
      <c r="BE807" s="72"/>
      <c r="BF807" s="72"/>
      <c r="BG807" s="72"/>
      <c r="BH807" s="72"/>
      <c r="BI807" s="72"/>
      <c r="BJ807" s="72"/>
      <c r="BK807" s="72"/>
      <c r="BL807" s="72"/>
      <c r="BM807" s="72"/>
      <c r="BN807" s="72"/>
      <c r="BO807" s="72"/>
      <c r="BP807" s="72"/>
      <c r="BQ807" s="72"/>
      <c r="BR807" s="72"/>
      <c r="BS807" s="72"/>
      <c r="BT807" s="72"/>
      <c r="BU807" s="72"/>
      <c r="BV807" s="72"/>
      <c r="BW807" s="72"/>
    </row>
    <row r="808" ht="21.0" customHeight="1">
      <c r="A808" s="12"/>
      <c r="B808" s="36" t="s">
        <v>733</v>
      </c>
      <c r="C808" s="26">
        <f>vlookup(B808,'재고 백업'!$A:$B,2,0)</f>
        <v>40</v>
      </c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  <c r="AQ808" s="72"/>
      <c r="AR808" s="72"/>
      <c r="AS808" s="72"/>
      <c r="AT808" s="72"/>
      <c r="AU808" s="72"/>
      <c r="AV808" s="72"/>
      <c r="AW808" s="72"/>
      <c r="AX808" s="72"/>
      <c r="AY808" s="72"/>
      <c r="AZ808" s="72"/>
      <c r="BA808" s="72"/>
      <c r="BB808" s="72"/>
      <c r="BC808" s="72"/>
      <c r="BD808" s="72"/>
      <c r="BE808" s="72"/>
      <c r="BF808" s="72"/>
      <c r="BG808" s="72"/>
      <c r="BH808" s="72"/>
      <c r="BI808" s="72"/>
      <c r="BJ808" s="72"/>
      <c r="BK808" s="72"/>
      <c r="BL808" s="72"/>
      <c r="BM808" s="72"/>
      <c r="BN808" s="72"/>
      <c r="BO808" s="72"/>
      <c r="BP808" s="72"/>
      <c r="BQ808" s="72"/>
      <c r="BR808" s="72"/>
      <c r="BS808" s="72"/>
      <c r="BT808" s="72"/>
      <c r="BU808" s="72"/>
      <c r="BV808" s="72"/>
      <c r="BW808" s="72"/>
    </row>
    <row r="809" ht="21.0" customHeight="1">
      <c r="A809" s="12"/>
      <c r="B809" s="36" t="s">
        <v>734</v>
      </c>
      <c r="C809" s="26">
        <f>vlookup(B809,'재고 백업'!$A:$B,2,0)</f>
        <v>34</v>
      </c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  <c r="AQ809" s="72"/>
      <c r="AR809" s="72"/>
      <c r="AS809" s="72"/>
      <c r="AT809" s="72"/>
      <c r="AU809" s="72"/>
      <c r="AV809" s="72"/>
      <c r="AW809" s="72"/>
      <c r="AX809" s="72"/>
      <c r="AY809" s="72"/>
      <c r="AZ809" s="72"/>
      <c r="BA809" s="72"/>
      <c r="BB809" s="72"/>
      <c r="BC809" s="72"/>
      <c r="BD809" s="72"/>
      <c r="BE809" s="72"/>
      <c r="BF809" s="72"/>
      <c r="BG809" s="72"/>
      <c r="BH809" s="72"/>
      <c r="BI809" s="72"/>
      <c r="BJ809" s="72"/>
      <c r="BK809" s="72"/>
      <c r="BL809" s="72"/>
      <c r="BM809" s="72"/>
      <c r="BN809" s="72"/>
      <c r="BO809" s="72"/>
      <c r="BP809" s="72"/>
      <c r="BQ809" s="72"/>
      <c r="BR809" s="72"/>
      <c r="BS809" s="72"/>
      <c r="BT809" s="72"/>
      <c r="BU809" s="72"/>
      <c r="BV809" s="72"/>
      <c r="BW809" s="72"/>
    </row>
    <row r="810" ht="21.0" customHeight="1">
      <c r="A810" s="12"/>
      <c r="B810" s="36" t="s">
        <v>735</v>
      </c>
      <c r="C810" s="26">
        <f>vlookup(B810,'재고 백업'!$A:$B,2,0)</f>
        <v>31</v>
      </c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  <c r="AQ810" s="72"/>
      <c r="AR810" s="72"/>
      <c r="AS810" s="72"/>
      <c r="AT810" s="72"/>
      <c r="AU810" s="72"/>
      <c r="AV810" s="72"/>
      <c r="AW810" s="72"/>
      <c r="AX810" s="72"/>
      <c r="AY810" s="72"/>
      <c r="AZ810" s="72"/>
      <c r="BA810" s="72"/>
      <c r="BB810" s="72"/>
      <c r="BC810" s="72"/>
      <c r="BD810" s="72"/>
      <c r="BE810" s="72"/>
      <c r="BF810" s="72"/>
      <c r="BG810" s="72"/>
      <c r="BH810" s="72"/>
      <c r="BI810" s="72"/>
      <c r="BJ810" s="72"/>
      <c r="BK810" s="72"/>
      <c r="BL810" s="72"/>
      <c r="BM810" s="72"/>
      <c r="BN810" s="72"/>
      <c r="BO810" s="72"/>
      <c r="BP810" s="72"/>
      <c r="BQ810" s="72"/>
      <c r="BR810" s="72"/>
      <c r="BS810" s="72"/>
      <c r="BT810" s="72"/>
      <c r="BU810" s="72"/>
      <c r="BV810" s="72"/>
      <c r="BW810" s="72"/>
    </row>
    <row r="811" ht="21.0" customHeight="1">
      <c r="A811" s="12"/>
      <c r="B811" s="36" t="s">
        <v>736</v>
      </c>
      <c r="C811" s="26">
        <f>vlookup(B811,'재고 백업'!$A:$B,2,0)</f>
        <v>44</v>
      </c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  <c r="AQ811" s="72"/>
      <c r="AR811" s="72"/>
      <c r="AS811" s="72"/>
      <c r="AT811" s="72"/>
      <c r="AU811" s="72"/>
      <c r="AV811" s="72"/>
      <c r="AW811" s="72"/>
      <c r="AX811" s="72"/>
      <c r="AY811" s="72"/>
      <c r="AZ811" s="72"/>
      <c r="BA811" s="72"/>
      <c r="BB811" s="72"/>
      <c r="BC811" s="72"/>
      <c r="BD811" s="72"/>
      <c r="BE811" s="72"/>
      <c r="BF811" s="72"/>
      <c r="BG811" s="72"/>
      <c r="BH811" s="72"/>
      <c r="BI811" s="72"/>
      <c r="BJ811" s="72"/>
      <c r="BK811" s="72"/>
      <c r="BL811" s="72"/>
      <c r="BM811" s="72"/>
      <c r="BN811" s="72"/>
      <c r="BO811" s="72"/>
      <c r="BP811" s="72"/>
      <c r="BQ811" s="72"/>
      <c r="BR811" s="72"/>
      <c r="BS811" s="72"/>
      <c r="BT811" s="72"/>
      <c r="BU811" s="72"/>
      <c r="BV811" s="72"/>
      <c r="BW811" s="72"/>
    </row>
    <row r="812" ht="21.0" customHeight="1">
      <c r="A812" s="12"/>
      <c r="B812" s="36" t="s">
        <v>737</v>
      </c>
      <c r="C812" s="26">
        <f>vlookup(B812,'재고 백업'!$A:$B,2,0)</f>
        <v>48</v>
      </c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  <c r="AQ812" s="72"/>
      <c r="AR812" s="72"/>
      <c r="AS812" s="72"/>
      <c r="AT812" s="72"/>
      <c r="AU812" s="72"/>
      <c r="AV812" s="72"/>
      <c r="AW812" s="72"/>
      <c r="AX812" s="72"/>
      <c r="AY812" s="72"/>
      <c r="AZ812" s="72"/>
      <c r="BA812" s="72"/>
      <c r="BB812" s="72"/>
      <c r="BC812" s="72"/>
      <c r="BD812" s="72"/>
      <c r="BE812" s="72"/>
      <c r="BF812" s="72"/>
      <c r="BG812" s="72"/>
      <c r="BH812" s="72"/>
      <c r="BI812" s="72"/>
      <c r="BJ812" s="72"/>
      <c r="BK812" s="72"/>
      <c r="BL812" s="72"/>
      <c r="BM812" s="72"/>
      <c r="BN812" s="72"/>
      <c r="BO812" s="72"/>
      <c r="BP812" s="72"/>
      <c r="BQ812" s="72"/>
      <c r="BR812" s="72"/>
      <c r="BS812" s="72"/>
      <c r="BT812" s="72"/>
      <c r="BU812" s="72"/>
      <c r="BV812" s="72"/>
      <c r="BW812" s="72"/>
    </row>
    <row r="813" ht="21.0" customHeight="1">
      <c r="A813" s="12"/>
      <c r="B813" s="36" t="s">
        <v>738</v>
      </c>
      <c r="C813" s="26">
        <f>vlookup(B813,'재고 백업'!$A:$B,2,0)</f>
        <v>44</v>
      </c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  <c r="AQ813" s="72"/>
      <c r="AR813" s="72"/>
      <c r="AS813" s="72"/>
      <c r="AT813" s="72"/>
      <c r="AU813" s="72"/>
      <c r="AV813" s="72"/>
      <c r="AW813" s="72"/>
      <c r="AX813" s="72"/>
      <c r="AY813" s="72"/>
      <c r="AZ813" s="72"/>
      <c r="BA813" s="72"/>
      <c r="BB813" s="72"/>
      <c r="BC813" s="72"/>
      <c r="BD813" s="72"/>
      <c r="BE813" s="72"/>
      <c r="BF813" s="72"/>
      <c r="BG813" s="72"/>
      <c r="BH813" s="72"/>
      <c r="BI813" s="72"/>
      <c r="BJ813" s="72"/>
      <c r="BK813" s="72"/>
      <c r="BL813" s="72"/>
      <c r="BM813" s="72"/>
      <c r="BN813" s="72"/>
      <c r="BO813" s="72"/>
      <c r="BP813" s="72"/>
      <c r="BQ813" s="72"/>
      <c r="BR813" s="72"/>
      <c r="BS813" s="72"/>
      <c r="BT813" s="72"/>
      <c r="BU813" s="72"/>
      <c r="BV813" s="72"/>
      <c r="BW813" s="72"/>
    </row>
    <row r="814" ht="21.0" customHeight="1">
      <c r="A814" s="12"/>
      <c r="B814" s="36" t="s">
        <v>739</v>
      </c>
      <c r="C814" s="26">
        <f>vlookup(B814,'재고 백업'!$A:$B,2,0)</f>
        <v>44</v>
      </c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  <c r="AQ814" s="72"/>
      <c r="AR814" s="72"/>
      <c r="AS814" s="72"/>
      <c r="AT814" s="72"/>
      <c r="AU814" s="72"/>
      <c r="AV814" s="72"/>
      <c r="AW814" s="72"/>
      <c r="AX814" s="72"/>
      <c r="AY814" s="72"/>
      <c r="AZ814" s="72"/>
      <c r="BA814" s="72"/>
      <c r="BB814" s="72"/>
      <c r="BC814" s="72"/>
      <c r="BD814" s="72"/>
      <c r="BE814" s="72"/>
      <c r="BF814" s="72"/>
      <c r="BG814" s="72"/>
      <c r="BH814" s="72"/>
      <c r="BI814" s="72"/>
      <c r="BJ814" s="72"/>
      <c r="BK814" s="72"/>
      <c r="BL814" s="72"/>
      <c r="BM814" s="72"/>
      <c r="BN814" s="72"/>
      <c r="BO814" s="72"/>
      <c r="BP814" s="72"/>
      <c r="BQ814" s="72"/>
      <c r="BR814" s="72"/>
      <c r="BS814" s="72"/>
      <c r="BT814" s="72"/>
      <c r="BU814" s="72"/>
      <c r="BV814" s="72"/>
      <c r="BW814" s="72"/>
    </row>
    <row r="815" ht="21.0" customHeight="1">
      <c r="A815" s="12"/>
      <c r="B815" s="36" t="s">
        <v>740</v>
      </c>
      <c r="C815" s="26">
        <f>vlookup(B815,'재고 백업'!$A:$B,2,0)</f>
        <v>48</v>
      </c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  <c r="AQ815" s="72"/>
      <c r="AR815" s="72"/>
      <c r="AS815" s="72"/>
      <c r="AT815" s="72"/>
      <c r="AU815" s="72"/>
      <c r="AV815" s="72"/>
      <c r="AW815" s="72"/>
      <c r="AX815" s="72"/>
      <c r="AY815" s="72"/>
      <c r="AZ815" s="72"/>
      <c r="BA815" s="72"/>
      <c r="BB815" s="72"/>
      <c r="BC815" s="72"/>
      <c r="BD815" s="72"/>
      <c r="BE815" s="72"/>
      <c r="BF815" s="72"/>
      <c r="BG815" s="72"/>
      <c r="BH815" s="72"/>
      <c r="BI815" s="72"/>
      <c r="BJ815" s="72"/>
      <c r="BK815" s="72"/>
      <c r="BL815" s="72"/>
      <c r="BM815" s="72"/>
      <c r="BN815" s="72"/>
      <c r="BO815" s="72"/>
      <c r="BP815" s="72"/>
      <c r="BQ815" s="72"/>
      <c r="BR815" s="72"/>
      <c r="BS815" s="72"/>
      <c r="BT815" s="72"/>
      <c r="BU815" s="72"/>
      <c r="BV815" s="72"/>
      <c r="BW815" s="72"/>
    </row>
    <row r="816" ht="21.0" customHeight="1">
      <c r="A816" s="12"/>
      <c r="B816" s="36" t="s">
        <v>741</v>
      </c>
      <c r="C816" s="26">
        <f>vlookup(B816,'재고 백업'!$A:$B,2,0)</f>
        <v>41</v>
      </c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  <c r="AQ816" s="72"/>
      <c r="AR816" s="72"/>
      <c r="AS816" s="72"/>
      <c r="AT816" s="72"/>
      <c r="AU816" s="72"/>
      <c r="AV816" s="72"/>
      <c r="AW816" s="72"/>
      <c r="AX816" s="72"/>
      <c r="AY816" s="72"/>
      <c r="AZ816" s="72"/>
      <c r="BA816" s="72"/>
      <c r="BB816" s="72"/>
      <c r="BC816" s="72"/>
      <c r="BD816" s="72"/>
      <c r="BE816" s="72"/>
      <c r="BF816" s="72"/>
      <c r="BG816" s="72"/>
      <c r="BH816" s="72"/>
      <c r="BI816" s="72"/>
      <c r="BJ816" s="72"/>
      <c r="BK816" s="72"/>
      <c r="BL816" s="72"/>
      <c r="BM816" s="72"/>
      <c r="BN816" s="72"/>
      <c r="BO816" s="72"/>
      <c r="BP816" s="72"/>
      <c r="BQ816" s="72"/>
      <c r="BR816" s="72"/>
      <c r="BS816" s="72"/>
      <c r="BT816" s="72"/>
      <c r="BU816" s="72"/>
      <c r="BV816" s="72"/>
      <c r="BW816" s="72"/>
    </row>
    <row r="817" ht="21.0" customHeight="1">
      <c r="A817" s="12"/>
      <c r="B817" s="36" t="s">
        <v>742</v>
      </c>
      <c r="C817" s="26">
        <f>vlookup(B817,'재고 백업'!$A:$B,2,0)</f>
        <v>28</v>
      </c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  <c r="AQ817" s="72"/>
      <c r="AR817" s="72"/>
      <c r="AS817" s="72"/>
      <c r="AT817" s="72"/>
      <c r="AU817" s="72"/>
      <c r="AV817" s="72"/>
      <c r="AW817" s="72"/>
      <c r="AX817" s="72"/>
      <c r="AY817" s="72"/>
      <c r="AZ817" s="72"/>
      <c r="BA817" s="72"/>
      <c r="BB817" s="72"/>
      <c r="BC817" s="72"/>
      <c r="BD817" s="72"/>
      <c r="BE817" s="72"/>
      <c r="BF817" s="72"/>
      <c r="BG817" s="72"/>
      <c r="BH817" s="72"/>
      <c r="BI817" s="72"/>
      <c r="BJ817" s="72"/>
      <c r="BK817" s="72"/>
      <c r="BL817" s="72"/>
      <c r="BM817" s="72"/>
      <c r="BN817" s="72"/>
      <c r="BO817" s="72"/>
      <c r="BP817" s="72"/>
      <c r="BQ817" s="72"/>
      <c r="BR817" s="72"/>
      <c r="BS817" s="72"/>
      <c r="BT817" s="72"/>
      <c r="BU817" s="72"/>
      <c r="BV817" s="72"/>
      <c r="BW817" s="72"/>
    </row>
    <row r="818" ht="21.0" customHeight="1">
      <c r="A818" s="12"/>
      <c r="B818" s="36" t="s">
        <v>743</v>
      </c>
      <c r="C818" s="26">
        <f>vlookup(B818,'재고 백업'!$A:$B,2,0)</f>
        <v>7</v>
      </c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  <c r="AQ818" s="72"/>
      <c r="AR818" s="72"/>
      <c r="AS818" s="72"/>
      <c r="AT818" s="72"/>
      <c r="AU818" s="72"/>
      <c r="AV818" s="72"/>
      <c r="AW818" s="72"/>
      <c r="AX818" s="72"/>
      <c r="AY818" s="72"/>
      <c r="AZ818" s="72"/>
      <c r="BA818" s="72"/>
      <c r="BB818" s="72"/>
      <c r="BC818" s="72"/>
      <c r="BD818" s="72"/>
      <c r="BE818" s="72"/>
      <c r="BF818" s="72"/>
      <c r="BG818" s="72"/>
      <c r="BH818" s="72"/>
      <c r="BI818" s="72"/>
      <c r="BJ818" s="72"/>
      <c r="BK818" s="72"/>
      <c r="BL818" s="72"/>
      <c r="BM818" s="72"/>
      <c r="BN818" s="72"/>
      <c r="BO818" s="72"/>
      <c r="BP818" s="72"/>
      <c r="BQ818" s="72"/>
      <c r="BR818" s="72"/>
      <c r="BS818" s="72"/>
      <c r="BT818" s="72"/>
      <c r="BU818" s="72"/>
      <c r="BV818" s="72"/>
      <c r="BW818" s="72"/>
    </row>
    <row r="819" ht="21.0" customHeight="1">
      <c r="A819" s="12"/>
      <c r="B819" s="36" t="s">
        <v>744</v>
      </c>
      <c r="C819" s="26">
        <f>vlookup(B819,'재고 백업'!$A:$B,2,0)</f>
        <v>32</v>
      </c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  <c r="AQ819" s="72"/>
      <c r="AR819" s="72"/>
      <c r="AS819" s="72"/>
      <c r="AT819" s="72"/>
      <c r="AU819" s="72"/>
      <c r="AV819" s="72"/>
      <c r="AW819" s="72"/>
      <c r="AX819" s="72"/>
      <c r="AY819" s="72"/>
      <c r="AZ819" s="72"/>
      <c r="BA819" s="72"/>
      <c r="BB819" s="72"/>
      <c r="BC819" s="72"/>
      <c r="BD819" s="72"/>
      <c r="BE819" s="72"/>
      <c r="BF819" s="72"/>
      <c r="BG819" s="72"/>
      <c r="BH819" s="72"/>
      <c r="BI819" s="72"/>
      <c r="BJ819" s="72"/>
      <c r="BK819" s="72"/>
      <c r="BL819" s="72"/>
      <c r="BM819" s="72"/>
      <c r="BN819" s="72"/>
      <c r="BO819" s="72"/>
      <c r="BP819" s="72"/>
      <c r="BQ819" s="72"/>
      <c r="BR819" s="72"/>
      <c r="BS819" s="72"/>
      <c r="BT819" s="72"/>
      <c r="BU819" s="72"/>
      <c r="BV819" s="72"/>
      <c r="BW819" s="72"/>
    </row>
    <row r="820" ht="21.0" customHeight="1">
      <c r="A820" s="12"/>
      <c r="B820" s="36" t="s">
        <v>745</v>
      </c>
      <c r="C820" s="26">
        <f>vlookup(B820,'재고 백업'!$A:$B,2,0)</f>
        <v>32</v>
      </c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  <c r="AQ820" s="72"/>
      <c r="AR820" s="72"/>
      <c r="AS820" s="72"/>
      <c r="AT820" s="72"/>
      <c r="AU820" s="72"/>
      <c r="AV820" s="72"/>
      <c r="AW820" s="72"/>
      <c r="AX820" s="72"/>
      <c r="AY820" s="72"/>
      <c r="AZ820" s="72"/>
      <c r="BA820" s="72"/>
      <c r="BB820" s="72"/>
      <c r="BC820" s="72"/>
      <c r="BD820" s="72"/>
      <c r="BE820" s="72"/>
      <c r="BF820" s="72"/>
      <c r="BG820" s="72"/>
      <c r="BH820" s="72"/>
      <c r="BI820" s="72"/>
      <c r="BJ820" s="72"/>
      <c r="BK820" s="72"/>
      <c r="BL820" s="72"/>
      <c r="BM820" s="72"/>
      <c r="BN820" s="72"/>
      <c r="BO820" s="72"/>
      <c r="BP820" s="72"/>
      <c r="BQ820" s="72"/>
      <c r="BR820" s="72"/>
      <c r="BS820" s="72"/>
      <c r="BT820" s="72"/>
      <c r="BU820" s="72"/>
      <c r="BV820" s="72"/>
      <c r="BW820" s="72"/>
    </row>
    <row r="821" ht="21.0" customHeight="1">
      <c r="A821" s="12"/>
      <c r="B821" s="36" t="s">
        <v>746</v>
      </c>
      <c r="C821" s="26">
        <f>vlookup(B821,'재고 백업'!$A:$B,2,0)</f>
        <v>2</v>
      </c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  <c r="AQ821" s="72"/>
      <c r="AR821" s="72"/>
      <c r="AS821" s="72"/>
      <c r="AT821" s="72"/>
      <c r="AU821" s="72"/>
      <c r="AV821" s="72"/>
      <c r="AW821" s="72"/>
      <c r="AX821" s="72"/>
      <c r="AY821" s="72"/>
      <c r="AZ821" s="72"/>
      <c r="BA821" s="72"/>
      <c r="BB821" s="72"/>
      <c r="BC821" s="72"/>
      <c r="BD821" s="72"/>
      <c r="BE821" s="72"/>
      <c r="BF821" s="72"/>
      <c r="BG821" s="72"/>
      <c r="BH821" s="72"/>
      <c r="BI821" s="72"/>
      <c r="BJ821" s="72"/>
      <c r="BK821" s="72"/>
      <c r="BL821" s="72"/>
      <c r="BM821" s="72"/>
      <c r="BN821" s="72"/>
      <c r="BO821" s="72"/>
      <c r="BP821" s="72"/>
      <c r="BQ821" s="72"/>
      <c r="BR821" s="72"/>
      <c r="BS821" s="72"/>
      <c r="BT821" s="72"/>
      <c r="BU821" s="72"/>
      <c r="BV821" s="72"/>
      <c r="BW821" s="72"/>
    </row>
    <row r="822" ht="21.0" customHeight="1">
      <c r="A822" s="12"/>
      <c r="B822" s="36" t="s">
        <v>747</v>
      </c>
      <c r="C822" s="26">
        <f>vlookup(B822,'재고 백업'!$A:$B,2,0)</f>
        <v>113</v>
      </c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  <c r="AQ822" s="72"/>
      <c r="AR822" s="72"/>
      <c r="AS822" s="72"/>
      <c r="AT822" s="72"/>
      <c r="AU822" s="72"/>
      <c r="AV822" s="72"/>
      <c r="AW822" s="72"/>
      <c r="AX822" s="72"/>
      <c r="AY822" s="72"/>
      <c r="AZ822" s="72"/>
      <c r="BA822" s="72"/>
      <c r="BB822" s="72"/>
      <c r="BC822" s="72"/>
      <c r="BD822" s="72"/>
      <c r="BE822" s="72"/>
      <c r="BF822" s="72"/>
      <c r="BG822" s="72"/>
      <c r="BH822" s="72"/>
      <c r="BI822" s="72"/>
      <c r="BJ822" s="72"/>
      <c r="BK822" s="72"/>
      <c r="BL822" s="72"/>
      <c r="BM822" s="72"/>
      <c r="BN822" s="72"/>
      <c r="BO822" s="72"/>
      <c r="BP822" s="72"/>
      <c r="BQ822" s="72"/>
      <c r="BR822" s="72"/>
      <c r="BS822" s="72"/>
      <c r="BT822" s="72"/>
      <c r="BU822" s="72"/>
      <c r="BV822" s="72"/>
      <c r="BW822" s="72"/>
    </row>
    <row r="823" ht="21.0" customHeight="1">
      <c r="A823" s="12"/>
      <c r="B823" s="36" t="s">
        <v>748</v>
      </c>
      <c r="C823" s="26">
        <f>vlookup(B823,'재고 백업'!$A:$B,2,0)</f>
        <v>24</v>
      </c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  <c r="AQ823" s="72"/>
      <c r="AR823" s="72"/>
      <c r="AS823" s="72"/>
      <c r="AT823" s="72"/>
      <c r="AU823" s="72"/>
      <c r="AV823" s="72"/>
      <c r="AW823" s="72"/>
      <c r="AX823" s="72"/>
      <c r="AY823" s="72"/>
      <c r="AZ823" s="72"/>
      <c r="BA823" s="72"/>
      <c r="BB823" s="72"/>
      <c r="BC823" s="72"/>
      <c r="BD823" s="72"/>
      <c r="BE823" s="72"/>
      <c r="BF823" s="72"/>
      <c r="BG823" s="72"/>
      <c r="BH823" s="72"/>
      <c r="BI823" s="72"/>
      <c r="BJ823" s="72"/>
      <c r="BK823" s="72"/>
      <c r="BL823" s="72"/>
      <c r="BM823" s="72"/>
      <c r="BN823" s="72"/>
      <c r="BO823" s="72"/>
      <c r="BP823" s="72"/>
      <c r="BQ823" s="72"/>
      <c r="BR823" s="72"/>
      <c r="BS823" s="72"/>
      <c r="BT823" s="72"/>
      <c r="BU823" s="72"/>
      <c r="BV823" s="72"/>
      <c r="BW823" s="72"/>
    </row>
    <row r="824" ht="21.0" customHeight="1">
      <c r="A824" s="12"/>
      <c r="B824" s="36" t="s">
        <v>749</v>
      </c>
      <c r="C824" s="26">
        <f>vlookup(B824,'재고 백업'!$A:$B,2,0)</f>
        <v>628</v>
      </c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  <c r="AQ824" s="72"/>
      <c r="AR824" s="72"/>
      <c r="AS824" s="72"/>
      <c r="AT824" s="72"/>
      <c r="AU824" s="72"/>
      <c r="AV824" s="72"/>
      <c r="AW824" s="72"/>
      <c r="AX824" s="72"/>
      <c r="AY824" s="72"/>
      <c r="AZ824" s="72"/>
      <c r="BA824" s="72"/>
      <c r="BB824" s="72"/>
      <c r="BC824" s="72"/>
      <c r="BD824" s="72"/>
      <c r="BE824" s="72"/>
      <c r="BF824" s="72"/>
      <c r="BG824" s="72"/>
      <c r="BH824" s="72"/>
      <c r="BI824" s="72"/>
      <c r="BJ824" s="72"/>
      <c r="BK824" s="72"/>
      <c r="BL824" s="72"/>
      <c r="BM824" s="72"/>
      <c r="BN824" s="72"/>
      <c r="BO824" s="72"/>
      <c r="BP824" s="72"/>
      <c r="BQ824" s="72"/>
      <c r="BR824" s="72"/>
      <c r="BS824" s="72"/>
      <c r="BT824" s="72"/>
      <c r="BU824" s="72"/>
      <c r="BV824" s="72"/>
      <c r="BW824" s="72"/>
    </row>
    <row r="825" ht="21.0" customHeight="1">
      <c r="A825" s="12"/>
      <c r="B825" s="36" t="s">
        <v>750</v>
      </c>
      <c r="C825" s="26">
        <f>vlookup(B825,'재고 백업'!$A:$B,2,0)</f>
        <v>24</v>
      </c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  <c r="AQ825" s="72"/>
      <c r="AR825" s="72"/>
      <c r="AS825" s="72"/>
      <c r="AT825" s="72"/>
      <c r="AU825" s="72"/>
      <c r="AV825" s="72"/>
      <c r="AW825" s="72"/>
      <c r="AX825" s="72"/>
      <c r="AY825" s="72"/>
      <c r="AZ825" s="72"/>
      <c r="BA825" s="72"/>
      <c r="BB825" s="72"/>
      <c r="BC825" s="72"/>
      <c r="BD825" s="72"/>
      <c r="BE825" s="72"/>
      <c r="BF825" s="72"/>
      <c r="BG825" s="72"/>
      <c r="BH825" s="72"/>
      <c r="BI825" s="72"/>
      <c r="BJ825" s="72"/>
      <c r="BK825" s="72"/>
      <c r="BL825" s="72"/>
      <c r="BM825" s="72"/>
      <c r="BN825" s="72"/>
      <c r="BO825" s="72"/>
      <c r="BP825" s="72"/>
      <c r="BQ825" s="72"/>
      <c r="BR825" s="72"/>
      <c r="BS825" s="72"/>
      <c r="BT825" s="72"/>
      <c r="BU825" s="72"/>
      <c r="BV825" s="72"/>
      <c r="BW825" s="72"/>
    </row>
    <row r="826" ht="21.0" customHeight="1">
      <c r="A826" s="12"/>
      <c r="B826" s="36" t="s">
        <v>751</v>
      </c>
      <c r="C826" s="26">
        <f>vlookup(B826,'재고 백업'!$A:$B,2,0)</f>
        <v>13</v>
      </c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  <c r="AQ826" s="72"/>
      <c r="AR826" s="72"/>
      <c r="AS826" s="72"/>
      <c r="AT826" s="72"/>
      <c r="AU826" s="72"/>
      <c r="AV826" s="72"/>
      <c r="AW826" s="72"/>
      <c r="AX826" s="72"/>
      <c r="AY826" s="72"/>
      <c r="AZ826" s="72"/>
      <c r="BA826" s="72"/>
      <c r="BB826" s="72"/>
      <c r="BC826" s="72"/>
      <c r="BD826" s="72"/>
      <c r="BE826" s="72"/>
      <c r="BF826" s="72"/>
      <c r="BG826" s="72"/>
      <c r="BH826" s="72"/>
      <c r="BI826" s="72"/>
      <c r="BJ826" s="72"/>
      <c r="BK826" s="72"/>
      <c r="BL826" s="72"/>
      <c r="BM826" s="72"/>
      <c r="BN826" s="72"/>
      <c r="BO826" s="72"/>
      <c r="BP826" s="72"/>
      <c r="BQ826" s="72"/>
      <c r="BR826" s="72"/>
      <c r="BS826" s="72"/>
      <c r="BT826" s="72"/>
      <c r="BU826" s="72"/>
      <c r="BV826" s="72"/>
      <c r="BW826" s="72"/>
    </row>
    <row r="827" ht="21.0" customHeight="1">
      <c r="A827" s="12"/>
      <c r="B827" s="36" t="s">
        <v>752</v>
      </c>
      <c r="C827" s="26">
        <f>vlookup(B827,'재고 백업'!$A:$B,2,0)</f>
        <v>24</v>
      </c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  <c r="AQ827" s="72"/>
      <c r="AR827" s="72"/>
      <c r="AS827" s="72"/>
      <c r="AT827" s="72"/>
      <c r="AU827" s="72"/>
      <c r="AV827" s="72"/>
      <c r="AW827" s="72"/>
      <c r="AX827" s="72"/>
      <c r="AY827" s="72"/>
      <c r="AZ827" s="72"/>
      <c r="BA827" s="72"/>
      <c r="BB827" s="72"/>
      <c r="BC827" s="72"/>
      <c r="BD827" s="72"/>
      <c r="BE827" s="72"/>
      <c r="BF827" s="72"/>
      <c r="BG827" s="72"/>
      <c r="BH827" s="72"/>
      <c r="BI827" s="72"/>
      <c r="BJ827" s="72"/>
      <c r="BK827" s="72"/>
      <c r="BL827" s="72"/>
      <c r="BM827" s="72"/>
      <c r="BN827" s="72"/>
      <c r="BO827" s="72"/>
      <c r="BP827" s="72"/>
      <c r="BQ827" s="72"/>
      <c r="BR827" s="72"/>
      <c r="BS827" s="72"/>
      <c r="BT827" s="72"/>
      <c r="BU827" s="72"/>
      <c r="BV827" s="72"/>
      <c r="BW827" s="72"/>
    </row>
    <row r="828" ht="21.0" customHeight="1">
      <c r="A828" s="12"/>
      <c r="B828" s="36" t="s">
        <v>753</v>
      </c>
      <c r="C828" s="26">
        <f>vlookup(B828,'재고 백업'!$A:$B,2,0)</f>
        <v>24</v>
      </c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  <c r="AQ828" s="72"/>
      <c r="AR828" s="72"/>
      <c r="AS828" s="72"/>
      <c r="AT828" s="72"/>
      <c r="AU828" s="72"/>
      <c r="AV828" s="72"/>
      <c r="AW828" s="72"/>
      <c r="AX828" s="72"/>
      <c r="AY828" s="72"/>
      <c r="AZ828" s="72"/>
      <c r="BA828" s="72"/>
      <c r="BB828" s="72"/>
      <c r="BC828" s="72"/>
      <c r="BD828" s="72"/>
      <c r="BE828" s="72"/>
      <c r="BF828" s="72"/>
      <c r="BG828" s="72"/>
      <c r="BH828" s="72"/>
      <c r="BI828" s="72"/>
      <c r="BJ828" s="72"/>
      <c r="BK828" s="72"/>
      <c r="BL828" s="72"/>
      <c r="BM828" s="72"/>
      <c r="BN828" s="72"/>
      <c r="BO828" s="72"/>
      <c r="BP828" s="72"/>
      <c r="BQ828" s="72"/>
      <c r="BR828" s="72"/>
      <c r="BS828" s="72"/>
      <c r="BT828" s="72"/>
      <c r="BU828" s="72"/>
      <c r="BV828" s="72"/>
      <c r="BW828" s="72"/>
    </row>
    <row r="829" ht="21.0" customHeight="1">
      <c r="A829" s="12"/>
      <c r="B829" s="36" t="s">
        <v>754</v>
      </c>
      <c r="C829" s="26">
        <f>vlookup(B829,'재고 백업'!$A:$B,2,0)</f>
        <v>2</v>
      </c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  <c r="AQ829" s="72"/>
      <c r="AR829" s="72"/>
      <c r="AS829" s="72"/>
      <c r="AT829" s="72"/>
      <c r="AU829" s="72"/>
      <c r="AV829" s="72"/>
      <c r="AW829" s="72"/>
      <c r="AX829" s="72"/>
      <c r="AY829" s="72"/>
      <c r="AZ829" s="72"/>
      <c r="BA829" s="72"/>
      <c r="BB829" s="72"/>
      <c r="BC829" s="72"/>
      <c r="BD829" s="72"/>
      <c r="BE829" s="72"/>
      <c r="BF829" s="72"/>
      <c r="BG829" s="72"/>
      <c r="BH829" s="72"/>
      <c r="BI829" s="72"/>
      <c r="BJ829" s="72"/>
      <c r="BK829" s="72"/>
      <c r="BL829" s="72"/>
      <c r="BM829" s="72"/>
      <c r="BN829" s="72"/>
      <c r="BO829" s="72"/>
      <c r="BP829" s="72"/>
      <c r="BQ829" s="72"/>
      <c r="BR829" s="72"/>
      <c r="BS829" s="72"/>
      <c r="BT829" s="72"/>
      <c r="BU829" s="72"/>
      <c r="BV829" s="72"/>
      <c r="BW829" s="72"/>
    </row>
    <row r="830" ht="21.0" customHeight="1">
      <c r="A830" s="12"/>
      <c r="B830" s="36" t="s">
        <v>755</v>
      </c>
      <c r="C830" s="26">
        <f>vlookup(B830,'재고 백업'!$A:$B,2,0)</f>
        <v>142</v>
      </c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  <c r="AQ830" s="72"/>
      <c r="AR830" s="72"/>
      <c r="AS830" s="72"/>
      <c r="AT830" s="72"/>
      <c r="AU830" s="72"/>
      <c r="AV830" s="72"/>
      <c r="AW830" s="72"/>
      <c r="AX830" s="72"/>
      <c r="AY830" s="72"/>
      <c r="AZ830" s="72"/>
      <c r="BA830" s="72"/>
      <c r="BB830" s="72"/>
      <c r="BC830" s="72"/>
      <c r="BD830" s="72"/>
      <c r="BE830" s="72"/>
      <c r="BF830" s="72"/>
      <c r="BG830" s="72"/>
      <c r="BH830" s="72"/>
      <c r="BI830" s="72"/>
      <c r="BJ830" s="72"/>
      <c r="BK830" s="72"/>
      <c r="BL830" s="72"/>
      <c r="BM830" s="72"/>
      <c r="BN830" s="72"/>
      <c r="BO830" s="72"/>
      <c r="BP830" s="72"/>
      <c r="BQ830" s="72"/>
      <c r="BR830" s="72"/>
      <c r="BS830" s="72"/>
      <c r="BT830" s="72"/>
      <c r="BU830" s="72"/>
      <c r="BV830" s="72"/>
      <c r="BW830" s="72"/>
    </row>
    <row r="831" ht="21.0" customHeight="1">
      <c r="A831" s="12"/>
      <c r="B831" s="36" t="s">
        <v>756</v>
      </c>
      <c r="C831" s="26">
        <f>vlookup(B831,'재고 백업'!$A:$B,2,0)</f>
        <v>14</v>
      </c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  <c r="AQ831" s="72"/>
      <c r="AR831" s="72"/>
      <c r="AS831" s="72"/>
      <c r="AT831" s="72"/>
      <c r="AU831" s="72"/>
      <c r="AV831" s="72"/>
      <c r="AW831" s="72"/>
      <c r="AX831" s="72"/>
      <c r="AY831" s="72"/>
      <c r="AZ831" s="72"/>
      <c r="BA831" s="72"/>
      <c r="BB831" s="72"/>
      <c r="BC831" s="72"/>
      <c r="BD831" s="72"/>
      <c r="BE831" s="72"/>
      <c r="BF831" s="72"/>
      <c r="BG831" s="72"/>
      <c r="BH831" s="72"/>
      <c r="BI831" s="72"/>
      <c r="BJ831" s="72"/>
      <c r="BK831" s="72"/>
      <c r="BL831" s="72"/>
      <c r="BM831" s="72"/>
      <c r="BN831" s="72"/>
      <c r="BO831" s="72"/>
      <c r="BP831" s="72"/>
      <c r="BQ831" s="72"/>
      <c r="BR831" s="72"/>
      <c r="BS831" s="72"/>
      <c r="BT831" s="72"/>
      <c r="BU831" s="72"/>
      <c r="BV831" s="72"/>
      <c r="BW831" s="72"/>
    </row>
    <row r="832" ht="21.0" customHeight="1">
      <c r="A832" s="12"/>
      <c r="B832" s="36" t="s">
        <v>757</v>
      </c>
      <c r="C832" s="26">
        <f>vlookup(B832,'재고 백업'!$A:$B,2,0)</f>
        <v>38</v>
      </c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  <c r="AQ832" s="72"/>
      <c r="AR832" s="72"/>
      <c r="AS832" s="72"/>
      <c r="AT832" s="72"/>
      <c r="AU832" s="72"/>
      <c r="AV832" s="72"/>
      <c r="AW832" s="72"/>
      <c r="AX832" s="72"/>
      <c r="AY832" s="72"/>
      <c r="AZ832" s="72"/>
      <c r="BA832" s="72"/>
      <c r="BB832" s="72"/>
      <c r="BC832" s="72"/>
      <c r="BD832" s="72"/>
      <c r="BE832" s="72"/>
      <c r="BF832" s="72"/>
      <c r="BG832" s="72"/>
      <c r="BH832" s="72"/>
      <c r="BI832" s="72"/>
      <c r="BJ832" s="72"/>
      <c r="BK832" s="72"/>
      <c r="BL832" s="72"/>
      <c r="BM832" s="72"/>
      <c r="BN832" s="72"/>
      <c r="BO832" s="72"/>
      <c r="BP832" s="72"/>
      <c r="BQ832" s="72"/>
      <c r="BR832" s="72"/>
      <c r="BS832" s="72"/>
      <c r="BT832" s="72"/>
      <c r="BU832" s="72"/>
      <c r="BV832" s="72"/>
      <c r="BW832" s="72"/>
    </row>
    <row r="833" ht="21.0" customHeight="1">
      <c r="A833" s="12"/>
      <c r="B833" s="36" t="s">
        <v>758</v>
      </c>
      <c r="C833" s="26" t="str">
        <f>vlookup(B833,'재고 백업'!$A:$B,2,0)</f>
        <v>-</v>
      </c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  <c r="AQ833" s="72"/>
      <c r="AR833" s="72"/>
      <c r="AS833" s="72"/>
      <c r="AT833" s="72"/>
      <c r="AU833" s="72"/>
      <c r="AV833" s="72"/>
      <c r="AW833" s="72"/>
      <c r="AX833" s="72"/>
      <c r="AY833" s="72"/>
      <c r="AZ833" s="72"/>
      <c r="BA833" s="72"/>
      <c r="BB833" s="72"/>
      <c r="BC833" s="72"/>
      <c r="BD833" s="72"/>
      <c r="BE833" s="72"/>
      <c r="BF833" s="72"/>
      <c r="BG833" s="72"/>
      <c r="BH833" s="72"/>
      <c r="BI833" s="72"/>
      <c r="BJ833" s="72"/>
      <c r="BK833" s="72"/>
      <c r="BL833" s="72"/>
      <c r="BM833" s="72"/>
      <c r="BN833" s="72"/>
      <c r="BO833" s="72"/>
      <c r="BP833" s="72"/>
      <c r="BQ833" s="72"/>
      <c r="BR833" s="72"/>
      <c r="BS833" s="72"/>
      <c r="BT833" s="72"/>
      <c r="BU833" s="72"/>
      <c r="BV833" s="72"/>
      <c r="BW833" s="72"/>
    </row>
    <row r="834" ht="21.0" customHeight="1">
      <c r="A834" s="12"/>
      <c r="B834" s="36" t="s">
        <v>759</v>
      </c>
      <c r="C834" s="26" t="str">
        <f>vlookup(B834,'재고 백업'!$A:$B,2,0)</f>
        <v>-</v>
      </c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  <c r="AQ834" s="72"/>
      <c r="AR834" s="72"/>
      <c r="AS834" s="72"/>
      <c r="AT834" s="72"/>
      <c r="AU834" s="72"/>
      <c r="AV834" s="72"/>
      <c r="AW834" s="72"/>
      <c r="AX834" s="72"/>
      <c r="AY834" s="72"/>
      <c r="AZ834" s="72"/>
      <c r="BA834" s="72"/>
      <c r="BB834" s="72"/>
      <c r="BC834" s="72"/>
      <c r="BD834" s="72"/>
      <c r="BE834" s="72"/>
      <c r="BF834" s="72"/>
      <c r="BG834" s="72"/>
      <c r="BH834" s="72"/>
      <c r="BI834" s="72"/>
      <c r="BJ834" s="72"/>
      <c r="BK834" s="72"/>
      <c r="BL834" s="72"/>
      <c r="BM834" s="72"/>
      <c r="BN834" s="72"/>
      <c r="BO834" s="72"/>
      <c r="BP834" s="72"/>
      <c r="BQ834" s="72"/>
      <c r="BR834" s="72"/>
      <c r="BS834" s="72"/>
      <c r="BT834" s="72"/>
      <c r="BU834" s="72"/>
      <c r="BV834" s="72"/>
      <c r="BW834" s="72"/>
    </row>
    <row r="835" ht="21.0" customHeight="1">
      <c r="A835" s="12"/>
      <c r="B835" s="36" t="s">
        <v>760</v>
      </c>
      <c r="C835" s="26">
        <f>vlookup(B835,'재고 백업'!$A:$B,2,0)</f>
        <v>12</v>
      </c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  <c r="AQ835" s="72"/>
      <c r="AR835" s="72"/>
      <c r="AS835" s="72"/>
      <c r="AT835" s="72"/>
      <c r="AU835" s="72"/>
      <c r="AV835" s="72"/>
      <c r="AW835" s="72"/>
      <c r="AX835" s="72"/>
      <c r="AY835" s="72"/>
      <c r="AZ835" s="72"/>
      <c r="BA835" s="72"/>
      <c r="BB835" s="72"/>
      <c r="BC835" s="72"/>
      <c r="BD835" s="72"/>
      <c r="BE835" s="72"/>
      <c r="BF835" s="72"/>
      <c r="BG835" s="72"/>
      <c r="BH835" s="72"/>
      <c r="BI835" s="72"/>
      <c r="BJ835" s="72"/>
      <c r="BK835" s="72"/>
      <c r="BL835" s="72"/>
      <c r="BM835" s="72"/>
      <c r="BN835" s="72"/>
      <c r="BO835" s="72"/>
      <c r="BP835" s="72"/>
      <c r="BQ835" s="72"/>
      <c r="BR835" s="72"/>
      <c r="BS835" s="72"/>
      <c r="BT835" s="72"/>
      <c r="BU835" s="72"/>
      <c r="BV835" s="72"/>
      <c r="BW835" s="72"/>
    </row>
    <row r="836" ht="21.0" customHeight="1">
      <c r="A836" s="12"/>
      <c r="B836" s="36" t="s">
        <v>761</v>
      </c>
      <c r="C836" s="26">
        <f>vlookup(B836,'재고 백업'!$A:$B,2,0)</f>
        <v>10</v>
      </c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  <c r="AQ836" s="72"/>
      <c r="AR836" s="72"/>
      <c r="AS836" s="72"/>
      <c r="AT836" s="72"/>
      <c r="AU836" s="72"/>
      <c r="AV836" s="72"/>
      <c r="AW836" s="72"/>
      <c r="AX836" s="72"/>
      <c r="AY836" s="72"/>
      <c r="AZ836" s="72"/>
      <c r="BA836" s="72"/>
      <c r="BB836" s="72"/>
      <c r="BC836" s="72"/>
      <c r="BD836" s="72"/>
      <c r="BE836" s="72"/>
      <c r="BF836" s="72"/>
      <c r="BG836" s="72"/>
      <c r="BH836" s="72"/>
      <c r="BI836" s="72"/>
      <c r="BJ836" s="72"/>
      <c r="BK836" s="72"/>
      <c r="BL836" s="72"/>
      <c r="BM836" s="72"/>
      <c r="BN836" s="72"/>
      <c r="BO836" s="72"/>
      <c r="BP836" s="72"/>
      <c r="BQ836" s="72"/>
      <c r="BR836" s="72"/>
      <c r="BS836" s="72"/>
      <c r="BT836" s="72"/>
      <c r="BU836" s="72"/>
      <c r="BV836" s="72"/>
      <c r="BW836" s="72"/>
    </row>
    <row r="837" ht="21.0" customHeight="1">
      <c r="A837" s="12"/>
      <c r="B837" s="36" t="s">
        <v>762</v>
      </c>
      <c r="C837" s="26">
        <f>vlookup(B837,'재고 백업'!$A:$B,2,0)</f>
        <v>36</v>
      </c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  <c r="AQ837" s="72"/>
      <c r="AR837" s="72"/>
      <c r="AS837" s="72"/>
      <c r="AT837" s="72"/>
      <c r="AU837" s="72"/>
      <c r="AV837" s="72"/>
      <c r="AW837" s="72"/>
      <c r="AX837" s="72"/>
      <c r="AY837" s="72"/>
      <c r="AZ837" s="72"/>
      <c r="BA837" s="72"/>
      <c r="BB837" s="72"/>
      <c r="BC837" s="72"/>
      <c r="BD837" s="72"/>
      <c r="BE837" s="72"/>
      <c r="BF837" s="72"/>
      <c r="BG837" s="72"/>
      <c r="BH837" s="72"/>
      <c r="BI837" s="72"/>
      <c r="BJ837" s="72"/>
      <c r="BK837" s="72"/>
      <c r="BL837" s="72"/>
      <c r="BM837" s="72"/>
      <c r="BN837" s="72"/>
      <c r="BO837" s="72"/>
      <c r="BP837" s="72"/>
      <c r="BQ837" s="72"/>
      <c r="BR837" s="72"/>
      <c r="BS837" s="72"/>
      <c r="BT837" s="72"/>
      <c r="BU837" s="72"/>
      <c r="BV837" s="72"/>
      <c r="BW837" s="72"/>
    </row>
    <row r="838" ht="21.0" customHeight="1">
      <c r="A838" s="12"/>
      <c r="B838" s="36" t="s">
        <v>763</v>
      </c>
      <c r="C838" s="26">
        <f>vlookup(B838,'재고 백업'!$A:$B,2,0)</f>
        <v>12</v>
      </c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  <c r="AR838" s="72"/>
      <c r="AS838" s="72"/>
      <c r="AT838" s="72"/>
      <c r="AU838" s="72"/>
      <c r="AV838" s="72"/>
      <c r="AW838" s="72"/>
      <c r="AX838" s="72"/>
      <c r="AY838" s="72"/>
      <c r="AZ838" s="72"/>
      <c r="BA838" s="72"/>
      <c r="BB838" s="72"/>
      <c r="BC838" s="72"/>
      <c r="BD838" s="72"/>
      <c r="BE838" s="72"/>
      <c r="BF838" s="72"/>
      <c r="BG838" s="72"/>
      <c r="BH838" s="72"/>
      <c r="BI838" s="72"/>
      <c r="BJ838" s="72"/>
      <c r="BK838" s="72"/>
      <c r="BL838" s="72"/>
      <c r="BM838" s="72"/>
      <c r="BN838" s="72"/>
      <c r="BO838" s="72"/>
      <c r="BP838" s="72"/>
      <c r="BQ838" s="72"/>
      <c r="BR838" s="72"/>
      <c r="BS838" s="72"/>
      <c r="BT838" s="72"/>
      <c r="BU838" s="72"/>
      <c r="BV838" s="72"/>
      <c r="BW838" s="72"/>
    </row>
    <row r="839" ht="21.0" customHeight="1">
      <c r="A839" s="12"/>
      <c r="B839" s="36" t="s">
        <v>764</v>
      </c>
      <c r="C839" s="26">
        <f>vlookup(B839,'재고 백업'!$A:$B,2,0)</f>
        <v>13</v>
      </c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  <c r="AQ839" s="72"/>
      <c r="AR839" s="72"/>
      <c r="AS839" s="72"/>
      <c r="AT839" s="72"/>
      <c r="AU839" s="72"/>
      <c r="AV839" s="72"/>
      <c r="AW839" s="72"/>
      <c r="AX839" s="72"/>
      <c r="AY839" s="72"/>
      <c r="AZ839" s="72"/>
      <c r="BA839" s="72"/>
      <c r="BB839" s="72"/>
      <c r="BC839" s="72"/>
      <c r="BD839" s="72"/>
      <c r="BE839" s="72"/>
      <c r="BF839" s="72"/>
      <c r="BG839" s="72"/>
      <c r="BH839" s="72"/>
      <c r="BI839" s="72"/>
      <c r="BJ839" s="72"/>
      <c r="BK839" s="72"/>
      <c r="BL839" s="72"/>
      <c r="BM839" s="72"/>
      <c r="BN839" s="72"/>
      <c r="BO839" s="72"/>
      <c r="BP839" s="72"/>
      <c r="BQ839" s="72"/>
      <c r="BR839" s="72"/>
      <c r="BS839" s="72"/>
      <c r="BT839" s="72"/>
      <c r="BU839" s="72"/>
      <c r="BV839" s="72"/>
      <c r="BW839" s="72"/>
    </row>
    <row r="840" ht="21.0" customHeight="1">
      <c r="A840" s="12"/>
      <c r="B840" s="34"/>
      <c r="C840" s="34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  <c r="AQ840" s="72"/>
      <c r="AR840" s="72"/>
      <c r="AS840" s="72"/>
      <c r="AT840" s="72"/>
      <c r="AU840" s="72"/>
      <c r="AV840" s="72"/>
      <c r="AW840" s="72"/>
      <c r="AX840" s="72"/>
      <c r="AY840" s="72"/>
      <c r="AZ840" s="72"/>
      <c r="BA840" s="72"/>
      <c r="BB840" s="72"/>
      <c r="BC840" s="72"/>
      <c r="BD840" s="72"/>
      <c r="BE840" s="72"/>
      <c r="BF840" s="72"/>
      <c r="BG840" s="72"/>
      <c r="BH840" s="72"/>
      <c r="BI840" s="72"/>
      <c r="BJ840" s="72"/>
      <c r="BK840" s="72"/>
      <c r="BL840" s="72"/>
      <c r="BM840" s="72"/>
      <c r="BN840" s="72"/>
      <c r="BO840" s="72"/>
      <c r="BP840" s="72"/>
      <c r="BQ840" s="72"/>
      <c r="BR840" s="72"/>
      <c r="BS840" s="72"/>
      <c r="BT840" s="72"/>
      <c r="BU840" s="72"/>
      <c r="BV840" s="72"/>
      <c r="BW840" s="72"/>
    </row>
    <row r="841" ht="21.0" customHeight="1">
      <c r="A841" s="12"/>
      <c r="B841" s="64" t="s">
        <v>765</v>
      </c>
      <c r="C841" s="64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  <c r="AQ841" s="72"/>
      <c r="AR841" s="72"/>
      <c r="AS841" s="72"/>
      <c r="AT841" s="72"/>
      <c r="AU841" s="72"/>
      <c r="AV841" s="72"/>
      <c r="AW841" s="72"/>
      <c r="AX841" s="72"/>
      <c r="AY841" s="72"/>
      <c r="AZ841" s="72"/>
      <c r="BA841" s="72"/>
      <c r="BB841" s="72"/>
      <c r="BC841" s="72"/>
      <c r="BD841" s="72"/>
      <c r="BE841" s="72"/>
      <c r="BF841" s="72"/>
      <c r="BG841" s="72"/>
      <c r="BH841" s="72"/>
      <c r="BI841" s="72"/>
      <c r="BJ841" s="72"/>
      <c r="BK841" s="72"/>
      <c r="BL841" s="72"/>
      <c r="BM841" s="72"/>
      <c r="BN841" s="72"/>
      <c r="BO841" s="72"/>
      <c r="BP841" s="72"/>
      <c r="BQ841" s="72"/>
      <c r="BR841" s="72"/>
      <c r="BS841" s="72"/>
      <c r="BT841" s="72"/>
      <c r="BU841" s="72"/>
      <c r="BV841" s="72"/>
      <c r="BW841" s="72"/>
    </row>
    <row r="842" ht="21.0" customHeight="1">
      <c r="A842" s="12"/>
      <c r="B842" s="36" t="s">
        <v>766</v>
      </c>
      <c r="C842" s="26">
        <f>vlookup(B842,'재고 백업'!$A:$B,2,0)</f>
        <v>118</v>
      </c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  <c r="AQ842" s="72"/>
      <c r="AR842" s="72"/>
      <c r="AS842" s="72"/>
      <c r="AT842" s="72"/>
      <c r="AU842" s="72"/>
      <c r="AV842" s="72"/>
      <c r="AW842" s="72"/>
      <c r="AX842" s="72"/>
      <c r="AY842" s="72"/>
      <c r="AZ842" s="72"/>
      <c r="BA842" s="72"/>
      <c r="BB842" s="72"/>
      <c r="BC842" s="72"/>
      <c r="BD842" s="72"/>
      <c r="BE842" s="72"/>
      <c r="BF842" s="72"/>
      <c r="BG842" s="72"/>
      <c r="BH842" s="72"/>
      <c r="BI842" s="72"/>
      <c r="BJ842" s="72"/>
      <c r="BK842" s="72"/>
      <c r="BL842" s="72"/>
      <c r="BM842" s="72"/>
      <c r="BN842" s="72"/>
      <c r="BO842" s="72"/>
      <c r="BP842" s="72"/>
      <c r="BQ842" s="72"/>
      <c r="BR842" s="72"/>
      <c r="BS842" s="72"/>
      <c r="BT842" s="72"/>
      <c r="BU842" s="72"/>
      <c r="BV842" s="72"/>
      <c r="BW842" s="72"/>
    </row>
    <row r="843" ht="21.0" customHeight="1">
      <c r="A843" s="12"/>
      <c r="B843" s="36" t="s">
        <v>767</v>
      </c>
      <c r="C843" s="26">
        <f>vlookup(B843,'재고 백업'!$A:$B,2,0)</f>
        <v>24</v>
      </c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  <c r="AQ843" s="72"/>
      <c r="AR843" s="72"/>
      <c r="AS843" s="72"/>
      <c r="AT843" s="72"/>
      <c r="AU843" s="72"/>
      <c r="AV843" s="72"/>
      <c r="AW843" s="72"/>
      <c r="AX843" s="72"/>
      <c r="AY843" s="72"/>
      <c r="AZ843" s="72"/>
      <c r="BA843" s="72"/>
      <c r="BB843" s="72"/>
      <c r="BC843" s="72"/>
      <c r="BD843" s="72"/>
      <c r="BE843" s="72"/>
      <c r="BF843" s="72"/>
      <c r="BG843" s="72"/>
      <c r="BH843" s="72"/>
      <c r="BI843" s="72"/>
      <c r="BJ843" s="72"/>
      <c r="BK843" s="72"/>
      <c r="BL843" s="72"/>
      <c r="BM843" s="72"/>
      <c r="BN843" s="72"/>
      <c r="BO843" s="72"/>
      <c r="BP843" s="72"/>
      <c r="BQ843" s="72"/>
      <c r="BR843" s="72"/>
      <c r="BS843" s="72"/>
      <c r="BT843" s="72"/>
      <c r="BU843" s="72"/>
      <c r="BV843" s="72"/>
      <c r="BW843" s="72"/>
    </row>
    <row r="844" ht="21.0" customHeight="1">
      <c r="A844" s="12"/>
      <c r="B844" s="36" t="s">
        <v>768</v>
      </c>
      <c r="C844" s="26">
        <f>vlookup(B844,'재고 백업'!$A:$B,2,0)</f>
        <v>52</v>
      </c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  <c r="AQ844" s="72"/>
      <c r="AR844" s="72"/>
      <c r="AS844" s="72"/>
      <c r="AT844" s="72"/>
      <c r="AU844" s="72"/>
      <c r="AV844" s="72"/>
      <c r="AW844" s="72"/>
      <c r="AX844" s="72"/>
      <c r="AY844" s="72"/>
      <c r="AZ844" s="72"/>
      <c r="BA844" s="72"/>
      <c r="BB844" s="72"/>
      <c r="BC844" s="72"/>
      <c r="BD844" s="72"/>
      <c r="BE844" s="72"/>
      <c r="BF844" s="72"/>
      <c r="BG844" s="72"/>
      <c r="BH844" s="72"/>
      <c r="BI844" s="72"/>
      <c r="BJ844" s="72"/>
      <c r="BK844" s="72"/>
      <c r="BL844" s="72"/>
      <c r="BM844" s="72"/>
      <c r="BN844" s="72"/>
      <c r="BO844" s="72"/>
      <c r="BP844" s="72"/>
      <c r="BQ844" s="72"/>
      <c r="BR844" s="72"/>
      <c r="BS844" s="72"/>
      <c r="BT844" s="72"/>
      <c r="BU844" s="72"/>
      <c r="BV844" s="72"/>
      <c r="BW844" s="72"/>
    </row>
    <row r="845" ht="21.0" customHeight="1">
      <c r="A845" s="12"/>
      <c r="B845" s="36" t="s">
        <v>769</v>
      </c>
      <c r="C845" s="26">
        <f>vlookup(B845,'재고 백업'!$A:$B,2,0)</f>
        <v>48</v>
      </c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  <c r="AQ845" s="72"/>
      <c r="AR845" s="72"/>
      <c r="AS845" s="72"/>
      <c r="AT845" s="72"/>
      <c r="AU845" s="72"/>
      <c r="AV845" s="72"/>
      <c r="AW845" s="72"/>
      <c r="AX845" s="72"/>
      <c r="AY845" s="72"/>
      <c r="AZ845" s="72"/>
      <c r="BA845" s="72"/>
      <c r="BB845" s="72"/>
      <c r="BC845" s="72"/>
      <c r="BD845" s="72"/>
      <c r="BE845" s="72"/>
      <c r="BF845" s="72"/>
      <c r="BG845" s="72"/>
      <c r="BH845" s="72"/>
      <c r="BI845" s="72"/>
      <c r="BJ845" s="72"/>
      <c r="BK845" s="72"/>
      <c r="BL845" s="72"/>
      <c r="BM845" s="72"/>
      <c r="BN845" s="72"/>
      <c r="BO845" s="72"/>
      <c r="BP845" s="72"/>
      <c r="BQ845" s="72"/>
      <c r="BR845" s="72"/>
      <c r="BS845" s="72"/>
      <c r="BT845" s="72"/>
      <c r="BU845" s="72"/>
      <c r="BV845" s="72"/>
      <c r="BW845" s="72"/>
    </row>
    <row r="846" ht="21.0" customHeight="1">
      <c r="A846" s="12"/>
      <c r="B846" s="36" t="s">
        <v>770</v>
      </c>
      <c r="C846" s="26">
        <f>vlookup(B846,'재고 백업'!$A:$B,2,0)</f>
        <v>85</v>
      </c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  <c r="AQ846" s="72"/>
      <c r="AR846" s="72"/>
      <c r="AS846" s="72"/>
      <c r="AT846" s="72"/>
      <c r="AU846" s="72"/>
      <c r="AV846" s="72"/>
      <c r="AW846" s="72"/>
      <c r="AX846" s="72"/>
      <c r="AY846" s="72"/>
      <c r="AZ846" s="72"/>
      <c r="BA846" s="72"/>
      <c r="BB846" s="72"/>
      <c r="BC846" s="72"/>
      <c r="BD846" s="72"/>
      <c r="BE846" s="72"/>
      <c r="BF846" s="72"/>
      <c r="BG846" s="72"/>
      <c r="BH846" s="72"/>
      <c r="BI846" s="72"/>
      <c r="BJ846" s="72"/>
      <c r="BK846" s="72"/>
      <c r="BL846" s="72"/>
      <c r="BM846" s="72"/>
      <c r="BN846" s="72"/>
      <c r="BO846" s="72"/>
      <c r="BP846" s="72"/>
      <c r="BQ846" s="72"/>
      <c r="BR846" s="72"/>
      <c r="BS846" s="72"/>
      <c r="BT846" s="72"/>
      <c r="BU846" s="72"/>
      <c r="BV846" s="72"/>
      <c r="BW846" s="72"/>
    </row>
    <row r="847" ht="21.0" customHeight="1">
      <c r="A847" s="12"/>
      <c r="B847" s="36" t="s">
        <v>771</v>
      </c>
      <c r="C847" s="26">
        <f>vlookup(B847,'재고 백업'!$A:$B,2,0)</f>
        <v>46</v>
      </c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  <c r="AQ847" s="72"/>
      <c r="AR847" s="72"/>
      <c r="AS847" s="72"/>
      <c r="AT847" s="72"/>
      <c r="AU847" s="72"/>
      <c r="AV847" s="72"/>
      <c r="AW847" s="72"/>
      <c r="AX847" s="72"/>
      <c r="AY847" s="72"/>
      <c r="AZ847" s="72"/>
      <c r="BA847" s="72"/>
      <c r="BB847" s="72"/>
      <c r="BC847" s="72"/>
      <c r="BD847" s="72"/>
      <c r="BE847" s="72"/>
      <c r="BF847" s="72"/>
      <c r="BG847" s="72"/>
      <c r="BH847" s="72"/>
      <c r="BI847" s="72"/>
      <c r="BJ847" s="72"/>
      <c r="BK847" s="72"/>
      <c r="BL847" s="72"/>
      <c r="BM847" s="72"/>
      <c r="BN847" s="72"/>
      <c r="BO847" s="72"/>
      <c r="BP847" s="72"/>
      <c r="BQ847" s="72"/>
      <c r="BR847" s="72"/>
      <c r="BS847" s="72"/>
      <c r="BT847" s="72"/>
      <c r="BU847" s="72"/>
      <c r="BV847" s="72"/>
      <c r="BW847" s="72"/>
    </row>
    <row r="848" ht="21.0" customHeight="1">
      <c r="A848" s="12"/>
      <c r="B848" s="36" t="s">
        <v>772</v>
      </c>
      <c r="C848" s="26">
        <f>vlookup(B848,'재고 백업'!$A:$B,2,0)</f>
        <v>16</v>
      </c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  <c r="AQ848" s="72"/>
      <c r="AR848" s="72"/>
      <c r="AS848" s="72"/>
      <c r="AT848" s="72"/>
      <c r="AU848" s="72"/>
      <c r="AV848" s="72"/>
      <c r="AW848" s="72"/>
      <c r="AX848" s="72"/>
      <c r="AY848" s="72"/>
      <c r="AZ848" s="72"/>
      <c r="BA848" s="72"/>
      <c r="BB848" s="72"/>
      <c r="BC848" s="72"/>
      <c r="BD848" s="72"/>
      <c r="BE848" s="72"/>
      <c r="BF848" s="72"/>
      <c r="BG848" s="72"/>
      <c r="BH848" s="72"/>
      <c r="BI848" s="72"/>
      <c r="BJ848" s="72"/>
      <c r="BK848" s="72"/>
      <c r="BL848" s="72"/>
      <c r="BM848" s="72"/>
      <c r="BN848" s="72"/>
      <c r="BO848" s="72"/>
      <c r="BP848" s="72"/>
      <c r="BQ848" s="72"/>
      <c r="BR848" s="72"/>
      <c r="BS848" s="72"/>
      <c r="BT848" s="72"/>
      <c r="BU848" s="72"/>
      <c r="BV848" s="72"/>
      <c r="BW848" s="72"/>
    </row>
    <row r="849" ht="21.0" customHeight="1">
      <c r="A849" s="12"/>
      <c r="B849" s="36" t="s">
        <v>773</v>
      </c>
      <c r="C849" s="26">
        <f>vlookup(B849,'재고 백업'!$A:$B,2,0)</f>
        <v>48</v>
      </c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  <c r="AQ849" s="72"/>
      <c r="AR849" s="72"/>
      <c r="AS849" s="72"/>
      <c r="AT849" s="72"/>
      <c r="AU849" s="72"/>
      <c r="AV849" s="72"/>
      <c r="AW849" s="72"/>
      <c r="AX849" s="72"/>
      <c r="AY849" s="72"/>
      <c r="AZ849" s="72"/>
      <c r="BA849" s="72"/>
      <c r="BB849" s="72"/>
      <c r="BC849" s="72"/>
      <c r="BD849" s="72"/>
      <c r="BE849" s="72"/>
      <c r="BF849" s="72"/>
      <c r="BG849" s="72"/>
      <c r="BH849" s="72"/>
      <c r="BI849" s="72"/>
      <c r="BJ849" s="72"/>
      <c r="BK849" s="72"/>
      <c r="BL849" s="72"/>
      <c r="BM849" s="72"/>
      <c r="BN849" s="72"/>
      <c r="BO849" s="72"/>
      <c r="BP849" s="72"/>
      <c r="BQ849" s="72"/>
      <c r="BR849" s="72"/>
      <c r="BS849" s="72"/>
      <c r="BT849" s="72"/>
      <c r="BU849" s="72"/>
      <c r="BV849" s="72"/>
      <c r="BW849" s="72"/>
    </row>
    <row r="850" ht="21.0" customHeight="1">
      <c r="A850" s="12"/>
      <c r="B850" s="36" t="s">
        <v>774</v>
      </c>
      <c r="C850" s="26">
        <f>vlookup(B850,'재고 백업'!$A:$B,2,0)</f>
        <v>16</v>
      </c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  <c r="AQ850" s="72"/>
      <c r="AR850" s="72"/>
      <c r="AS850" s="72"/>
      <c r="AT850" s="72"/>
      <c r="AU850" s="72"/>
      <c r="AV850" s="72"/>
      <c r="AW850" s="72"/>
      <c r="AX850" s="72"/>
      <c r="AY850" s="72"/>
      <c r="AZ850" s="72"/>
      <c r="BA850" s="72"/>
      <c r="BB850" s="72"/>
      <c r="BC850" s="72"/>
      <c r="BD850" s="72"/>
      <c r="BE850" s="72"/>
      <c r="BF850" s="72"/>
      <c r="BG850" s="72"/>
      <c r="BH850" s="72"/>
      <c r="BI850" s="72"/>
      <c r="BJ850" s="72"/>
      <c r="BK850" s="72"/>
      <c r="BL850" s="72"/>
      <c r="BM850" s="72"/>
      <c r="BN850" s="72"/>
      <c r="BO850" s="72"/>
      <c r="BP850" s="72"/>
      <c r="BQ850" s="72"/>
      <c r="BR850" s="72"/>
      <c r="BS850" s="72"/>
      <c r="BT850" s="72"/>
      <c r="BU850" s="72"/>
      <c r="BV850" s="72"/>
      <c r="BW850" s="72"/>
    </row>
    <row r="851" ht="21.0" customHeight="1">
      <c r="A851" s="12"/>
      <c r="B851" s="36" t="s">
        <v>775</v>
      </c>
      <c r="C851" s="26">
        <f>vlookup(B851,'재고 백업'!$A:$B,2,0)</f>
        <v>116</v>
      </c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  <c r="AQ851" s="72"/>
      <c r="AR851" s="72"/>
      <c r="AS851" s="72"/>
      <c r="AT851" s="72"/>
      <c r="AU851" s="72"/>
      <c r="AV851" s="72"/>
      <c r="AW851" s="72"/>
      <c r="AX851" s="72"/>
      <c r="AY851" s="72"/>
      <c r="AZ851" s="72"/>
      <c r="BA851" s="72"/>
      <c r="BB851" s="72"/>
      <c r="BC851" s="72"/>
      <c r="BD851" s="72"/>
      <c r="BE851" s="72"/>
      <c r="BF851" s="72"/>
      <c r="BG851" s="72"/>
      <c r="BH851" s="72"/>
      <c r="BI851" s="72"/>
      <c r="BJ851" s="72"/>
      <c r="BK851" s="72"/>
      <c r="BL851" s="72"/>
      <c r="BM851" s="72"/>
      <c r="BN851" s="72"/>
      <c r="BO851" s="72"/>
      <c r="BP851" s="72"/>
      <c r="BQ851" s="72"/>
      <c r="BR851" s="72"/>
      <c r="BS851" s="72"/>
      <c r="BT851" s="72"/>
      <c r="BU851" s="72"/>
      <c r="BV851" s="72"/>
      <c r="BW851" s="72"/>
    </row>
    <row r="852" ht="21.0" customHeight="1">
      <c r="A852" s="12"/>
      <c r="B852" s="36" t="s">
        <v>776</v>
      </c>
      <c r="C852" s="26">
        <f>vlookup(B852,'재고 백업'!$A:$B,2,0)</f>
        <v>39</v>
      </c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  <c r="AR852" s="72"/>
      <c r="AS852" s="72"/>
      <c r="AT852" s="72"/>
      <c r="AU852" s="72"/>
      <c r="AV852" s="72"/>
      <c r="AW852" s="72"/>
      <c r="AX852" s="72"/>
      <c r="AY852" s="72"/>
      <c r="AZ852" s="72"/>
      <c r="BA852" s="72"/>
      <c r="BB852" s="72"/>
      <c r="BC852" s="72"/>
      <c r="BD852" s="72"/>
      <c r="BE852" s="72"/>
      <c r="BF852" s="72"/>
      <c r="BG852" s="72"/>
      <c r="BH852" s="72"/>
      <c r="BI852" s="72"/>
      <c r="BJ852" s="72"/>
      <c r="BK852" s="72"/>
      <c r="BL852" s="72"/>
      <c r="BM852" s="72"/>
      <c r="BN852" s="72"/>
      <c r="BO852" s="72"/>
      <c r="BP852" s="72"/>
      <c r="BQ852" s="72"/>
      <c r="BR852" s="72"/>
      <c r="BS852" s="72"/>
      <c r="BT852" s="72"/>
      <c r="BU852" s="72"/>
      <c r="BV852" s="72"/>
      <c r="BW852" s="72"/>
    </row>
    <row r="853" ht="21.0" customHeight="1">
      <c r="A853" s="12"/>
      <c r="B853" s="36" t="s">
        <v>777</v>
      </c>
      <c r="C853" s="26" t="str">
        <f>vlookup(B853,'재고 백업'!$A:$B,2,0)</f>
        <v>-</v>
      </c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  <c r="AQ853" s="72"/>
      <c r="AR853" s="72"/>
      <c r="AS853" s="72"/>
      <c r="AT853" s="72"/>
      <c r="AU853" s="72"/>
      <c r="AV853" s="72"/>
      <c r="AW853" s="72"/>
      <c r="AX853" s="72"/>
      <c r="AY853" s="72"/>
      <c r="AZ853" s="72"/>
      <c r="BA853" s="72"/>
      <c r="BB853" s="72"/>
      <c r="BC853" s="72"/>
      <c r="BD853" s="72"/>
      <c r="BE853" s="72"/>
      <c r="BF853" s="72"/>
      <c r="BG853" s="72"/>
      <c r="BH853" s="72"/>
      <c r="BI853" s="72"/>
      <c r="BJ853" s="72"/>
      <c r="BK853" s="72"/>
      <c r="BL853" s="72"/>
      <c r="BM853" s="72"/>
      <c r="BN853" s="72"/>
      <c r="BO853" s="72"/>
      <c r="BP853" s="72"/>
      <c r="BQ853" s="72"/>
      <c r="BR853" s="72"/>
      <c r="BS853" s="72"/>
      <c r="BT853" s="72"/>
      <c r="BU853" s="72"/>
      <c r="BV853" s="72"/>
      <c r="BW853" s="72"/>
    </row>
    <row r="854" ht="21.0" customHeight="1">
      <c r="A854" s="12"/>
      <c r="B854" s="36" t="s">
        <v>778</v>
      </c>
      <c r="C854" s="26">
        <f>vlookup(B854,'재고 백업'!$A:$B,2,0)</f>
        <v>20</v>
      </c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  <c r="AR854" s="72"/>
      <c r="AS854" s="72"/>
      <c r="AT854" s="72"/>
      <c r="AU854" s="72"/>
      <c r="AV854" s="72"/>
      <c r="AW854" s="72"/>
      <c r="AX854" s="72"/>
      <c r="AY854" s="72"/>
      <c r="AZ854" s="72"/>
      <c r="BA854" s="72"/>
      <c r="BB854" s="72"/>
      <c r="BC854" s="72"/>
      <c r="BD854" s="72"/>
      <c r="BE854" s="72"/>
      <c r="BF854" s="72"/>
      <c r="BG854" s="72"/>
      <c r="BH854" s="72"/>
      <c r="BI854" s="72"/>
      <c r="BJ854" s="72"/>
      <c r="BK854" s="72"/>
      <c r="BL854" s="72"/>
      <c r="BM854" s="72"/>
      <c r="BN854" s="72"/>
      <c r="BO854" s="72"/>
      <c r="BP854" s="72"/>
      <c r="BQ854" s="72"/>
      <c r="BR854" s="72"/>
      <c r="BS854" s="72"/>
      <c r="BT854" s="72"/>
      <c r="BU854" s="72"/>
      <c r="BV854" s="72"/>
      <c r="BW854" s="72"/>
    </row>
    <row r="855" ht="21.0" customHeight="1">
      <c r="A855" s="12"/>
      <c r="B855" s="36" t="s">
        <v>779</v>
      </c>
      <c r="C855" s="26">
        <f>vlookup(B855,'재고 백업'!$A:$B,2,0)</f>
        <v>2</v>
      </c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  <c r="AQ855" s="72"/>
      <c r="AR855" s="72"/>
      <c r="AS855" s="72"/>
      <c r="AT855" s="72"/>
      <c r="AU855" s="72"/>
      <c r="AV855" s="72"/>
      <c r="AW855" s="72"/>
      <c r="AX855" s="72"/>
      <c r="AY855" s="72"/>
      <c r="AZ855" s="72"/>
      <c r="BA855" s="72"/>
      <c r="BB855" s="72"/>
      <c r="BC855" s="72"/>
      <c r="BD855" s="72"/>
      <c r="BE855" s="72"/>
      <c r="BF855" s="72"/>
      <c r="BG855" s="72"/>
      <c r="BH855" s="72"/>
      <c r="BI855" s="72"/>
      <c r="BJ855" s="72"/>
      <c r="BK855" s="72"/>
      <c r="BL855" s="72"/>
      <c r="BM855" s="72"/>
      <c r="BN855" s="72"/>
      <c r="BO855" s="72"/>
      <c r="BP855" s="72"/>
      <c r="BQ855" s="72"/>
      <c r="BR855" s="72"/>
      <c r="BS855" s="72"/>
      <c r="BT855" s="72"/>
      <c r="BU855" s="72"/>
      <c r="BV855" s="72"/>
      <c r="BW855" s="72"/>
    </row>
    <row r="856" ht="21.0" customHeight="1">
      <c r="A856" s="12"/>
      <c r="B856" s="36" t="s">
        <v>780</v>
      </c>
      <c r="C856" s="26">
        <f>vlookup(B856,'재고 백업'!$A:$B,2,0)</f>
        <v>29</v>
      </c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  <c r="AQ856" s="72"/>
      <c r="AR856" s="72"/>
      <c r="AS856" s="72"/>
      <c r="AT856" s="72"/>
      <c r="AU856" s="72"/>
      <c r="AV856" s="72"/>
      <c r="AW856" s="72"/>
      <c r="AX856" s="72"/>
      <c r="AY856" s="72"/>
      <c r="AZ856" s="72"/>
      <c r="BA856" s="72"/>
      <c r="BB856" s="72"/>
      <c r="BC856" s="72"/>
      <c r="BD856" s="72"/>
      <c r="BE856" s="72"/>
      <c r="BF856" s="72"/>
      <c r="BG856" s="72"/>
      <c r="BH856" s="72"/>
      <c r="BI856" s="72"/>
      <c r="BJ856" s="72"/>
      <c r="BK856" s="72"/>
      <c r="BL856" s="72"/>
      <c r="BM856" s="72"/>
      <c r="BN856" s="72"/>
      <c r="BO856" s="72"/>
      <c r="BP856" s="72"/>
      <c r="BQ856" s="72"/>
      <c r="BR856" s="72"/>
      <c r="BS856" s="72"/>
      <c r="BT856" s="72"/>
      <c r="BU856" s="72"/>
      <c r="BV856" s="72"/>
      <c r="BW856" s="72"/>
    </row>
    <row r="857" ht="21.0" customHeight="1">
      <c r="A857" s="12"/>
      <c r="B857" s="36" t="s">
        <v>781</v>
      </c>
      <c r="C857" s="26">
        <f>vlookup(B857,'재고 백업'!$A:$B,2,0)</f>
        <v>16</v>
      </c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  <c r="AQ857" s="72"/>
      <c r="AR857" s="72"/>
      <c r="AS857" s="72"/>
      <c r="AT857" s="72"/>
      <c r="AU857" s="72"/>
      <c r="AV857" s="72"/>
      <c r="AW857" s="72"/>
      <c r="AX857" s="72"/>
      <c r="AY857" s="72"/>
      <c r="AZ857" s="72"/>
      <c r="BA857" s="72"/>
      <c r="BB857" s="72"/>
      <c r="BC857" s="72"/>
      <c r="BD857" s="72"/>
      <c r="BE857" s="72"/>
      <c r="BF857" s="72"/>
      <c r="BG857" s="72"/>
      <c r="BH857" s="72"/>
      <c r="BI857" s="72"/>
      <c r="BJ857" s="72"/>
      <c r="BK857" s="72"/>
      <c r="BL857" s="72"/>
      <c r="BM857" s="72"/>
      <c r="BN857" s="72"/>
      <c r="BO857" s="72"/>
      <c r="BP857" s="72"/>
      <c r="BQ857" s="72"/>
      <c r="BR857" s="72"/>
      <c r="BS857" s="72"/>
      <c r="BT857" s="72"/>
      <c r="BU857" s="72"/>
      <c r="BV857" s="72"/>
      <c r="BW857" s="72"/>
    </row>
    <row r="858" ht="21.0" customHeight="1">
      <c r="A858" s="12"/>
      <c r="B858" s="36" t="s">
        <v>782</v>
      </c>
      <c r="C858" s="26" t="str">
        <f>vlookup(B858,'재고 백업'!$A:$B,2,0)</f>
        <v>-</v>
      </c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  <c r="AQ858" s="72"/>
      <c r="AR858" s="72"/>
      <c r="AS858" s="72"/>
      <c r="AT858" s="72"/>
      <c r="AU858" s="72"/>
      <c r="AV858" s="72"/>
      <c r="AW858" s="72"/>
      <c r="AX858" s="72"/>
      <c r="AY858" s="72"/>
      <c r="AZ858" s="72"/>
      <c r="BA858" s="72"/>
      <c r="BB858" s="72"/>
      <c r="BC858" s="72"/>
      <c r="BD858" s="72"/>
      <c r="BE858" s="72"/>
      <c r="BF858" s="72"/>
      <c r="BG858" s="72"/>
      <c r="BH858" s="72"/>
      <c r="BI858" s="72"/>
      <c r="BJ858" s="72"/>
      <c r="BK858" s="72"/>
      <c r="BL858" s="72"/>
      <c r="BM858" s="72"/>
      <c r="BN858" s="72"/>
      <c r="BO858" s="72"/>
      <c r="BP858" s="72"/>
      <c r="BQ858" s="72"/>
      <c r="BR858" s="72"/>
      <c r="BS858" s="72"/>
      <c r="BT858" s="72"/>
      <c r="BU858" s="72"/>
      <c r="BV858" s="72"/>
      <c r="BW858" s="72"/>
    </row>
    <row r="859" ht="21.0" customHeight="1">
      <c r="A859" s="12"/>
      <c r="B859" s="36" t="s">
        <v>783</v>
      </c>
      <c r="C859" s="26">
        <f>vlookup(B859,'재고 백업'!$A:$B,2,0)</f>
        <v>32</v>
      </c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  <c r="AQ859" s="72"/>
      <c r="AR859" s="72"/>
      <c r="AS859" s="72"/>
      <c r="AT859" s="72"/>
      <c r="AU859" s="72"/>
      <c r="AV859" s="72"/>
      <c r="AW859" s="72"/>
      <c r="AX859" s="72"/>
      <c r="AY859" s="72"/>
      <c r="AZ859" s="72"/>
      <c r="BA859" s="72"/>
      <c r="BB859" s="72"/>
      <c r="BC859" s="72"/>
      <c r="BD859" s="72"/>
      <c r="BE859" s="72"/>
      <c r="BF859" s="72"/>
      <c r="BG859" s="72"/>
      <c r="BH859" s="72"/>
      <c r="BI859" s="72"/>
      <c r="BJ859" s="72"/>
      <c r="BK859" s="72"/>
      <c r="BL859" s="72"/>
      <c r="BM859" s="72"/>
      <c r="BN859" s="72"/>
      <c r="BO859" s="72"/>
      <c r="BP859" s="72"/>
      <c r="BQ859" s="72"/>
      <c r="BR859" s="72"/>
      <c r="BS859" s="72"/>
      <c r="BT859" s="72"/>
      <c r="BU859" s="72"/>
      <c r="BV859" s="72"/>
      <c r="BW859" s="72"/>
    </row>
    <row r="860" ht="21.0" customHeight="1">
      <c r="A860" s="12"/>
      <c r="B860" s="36" t="s">
        <v>784</v>
      </c>
      <c r="C860" s="26">
        <f>vlookup(B860,'재고 백업'!$A:$B,2,0)</f>
        <v>16</v>
      </c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  <c r="AQ860" s="72"/>
      <c r="AR860" s="72"/>
      <c r="AS860" s="72"/>
      <c r="AT860" s="72"/>
      <c r="AU860" s="72"/>
      <c r="AV860" s="72"/>
      <c r="AW860" s="72"/>
      <c r="AX860" s="72"/>
      <c r="AY860" s="72"/>
      <c r="AZ860" s="72"/>
      <c r="BA860" s="72"/>
      <c r="BB860" s="72"/>
      <c r="BC860" s="72"/>
      <c r="BD860" s="72"/>
      <c r="BE860" s="72"/>
      <c r="BF860" s="72"/>
      <c r="BG860" s="72"/>
      <c r="BH860" s="72"/>
      <c r="BI860" s="72"/>
      <c r="BJ860" s="72"/>
      <c r="BK860" s="72"/>
      <c r="BL860" s="72"/>
      <c r="BM860" s="72"/>
      <c r="BN860" s="72"/>
      <c r="BO860" s="72"/>
      <c r="BP860" s="72"/>
      <c r="BQ860" s="72"/>
      <c r="BR860" s="72"/>
      <c r="BS860" s="72"/>
      <c r="BT860" s="72"/>
      <c r="BU860" s="72"/>
      <c r="BV860" s="72"/>
      <c r="BW860" s="72"/>
    </row>
    <row r="861" ht="21.0" customHeight="1">
      <c r="A861" s="12"/>
      <c r="B861" s="36" t="s">
        <v>785</v>
      </c>
      <c r="C861" s="26">
        <f>vlookup(B861,'재고 백업'!$A:$B,2,0)</f>
        <v>69</v>
      </c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  <c r="AQ861" s="72"/>
      <c r="AR861" s="72"/>
      <c r="AS861" s="72"/>
      <c r="AT861" s="72"/>
      <c r="AU861" s="72"/>
      <c r="AV861" s="72"/>
      <c r="AW861" s="72"/>
      <c r="AX861" s="72"/>
      <c r="AY861" s="72"/>
      <c r="AZ861" s="72"/>
      <c r="BA861" s="72"/>
      <c r="BB861" s="72"/>
      <c r="BC861" s="72"/>
      <c r="BD861" s="72"/>
      <c r="BE861" s="72"/>
      <c r="BF861" s="72"/>
      <c r="BG861" s="72"/>
      <c r="BH861" s="72"/>
      <c r="BI861" s="72"/>
      <c r="BJ861" s="72"/>
      <c r="BK861" s="72"/>
      <c r="BL861" s="72"/>
      <c r="BM861" s="72"/>
      <c r="BN861" s="72"/>
      <c r="BO861" s="72"/>
      <c r="BP861" s="72"/>
      <c r="BQ861" s="72"/>
      <c r="BR861" s="72"/>
      <c r="BS861" s="72"/>
      <c r="BT861" s="72"/>
      <c r="BU861" s="72"/>
      <c r="BV861" s="72"/>
      <c r="BW861" s="72"/>
    </row>
    <row r="862" ht="21.0" customHeight="1">
      <c r="A862" s="12"/>
      <c r="B862" s="36" t="s">
        <v>786</v>
      </c>
      <c r="C862" s="26">
        <f>vlookup(B862,'재고 백업'!$A:$B,2,0)</f>
        <v>18</v>
      </c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  <c r="AQ862" s="72"/>
      <c r="AR862" s="72"/>
      <c r="AS862" s="72"/>
      <c r="AT862" s="72"/>
      <c r="AU862" s="72"/>
      <c r="AV862" s="72"/>
      <c r="AW862" s="72"/>
      <c r="AX862" s="72"/>
      <c r="AY862" s="72"/>
      <c r="AZ862" s="72"/>
      <c r="BA862" s="72"/>
      <c r="BB862" s="72"/>
      <c r="BC862" s="72"/>
      <c r="BD862" s="72"/>
      <c r="BE862" s="72"/>
      <c r="BF862" s="72"/>
      <c r="BG862" s="72"/>
      <c r="BH862" s="72"/>
      <c r="BI862" s="72"/>
      <c r="BJ862" s="72"/>
      <c r="BK862" s="72"/>
      <c r="BL862" s="72"/>
      <c r="BM862" s="72"/>
      <c r="BN862" s="72"/>
      <c r="BO862" s="72"/>
      <c r="BP862" s="72"/>
      <c r="BQ862" s="72"/>
      <c r="BR862" s="72"/>
      <c r="BS862" s="72"/>
      <c r="BT862" s="72"/>
      <c r="BU862" s="72"/>
      <c r="BV862" s="72"/>
      <c r="BW862" s="72"/>
    </row>
    <row r="863" ht="21.0" customHeight="1">
      <c r="A863" s="12"/>
      <c r="B863" s="36" t="s">
        <v>787</v>
      </c>
      <c r="C863" s="26">
        <f>vlookup(B863,'재고 백업'!$A:$B,2,0)</f>
        <v>45</v>
      </c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  <c r="AQ863" s="72"/>
      <c r="AR863" s="72"/>
      <c r="AS863" s="72"/>
      <c r="AT863" s="72"/>
      <c r="AU863" s="72"/>
      <c r="AV863" s="72"/>
      <c r="AW863" s="72"/>
      <c r="AX863" s="72"/>
      <c r="AY863" s="72"/>
      <c r="AZ863" s="72"/>
      <c r="BA863" s="72"/>
      <c r="BB863" s="72"/>
      <c r="BC863" s="72"/>
      <c r="BD863" s="72"/>
      <c r="BE863" s="72"/>
      <c r="BF863" s="72"/>
      <c r="BG863" s="72"/>
      <c r="BH863" s="72"/>
      <c r="BI863" s="72"/>
      <c r="BJ863" s="72"/>
      <c r="BK863" s="72"/>
      <c r="BL863" s="72"/>
      <c r="BM863" s="72"/>
      <c r="BN863" s="72"/>
      <c r="BO863" s="72"/>
      <c r="BP863" s="72"/>
      <c r="BQ863" s="72"/>
      <c r="BR863" s="72"/>
      <c r="BS863" s="72"/>
      <c r="BT863" s="72"/>
      <c r="BU863" s="72"/>
      <c r="BV863" s="72"/>
      <c r="BW863" s="72"/>
    </row>
    <row r="864" ht="21.0" customHeight="1">
      <c r="A864" s="43"/>
      <c r="B864" s="27"/>
      <c r="C864" s="27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  <c r="AK864" s="74"/>
      <c r="AL864" s="74"/>
      <c r="AM864" s="74"/>
      <c r="AN864" s="74"/>
      <c r="AO864" s="74"/>
      <c r="AP864" s="74"/>
      <c r="AQ864" s="74"/>
      <c r="AR864" s="74"/>
      <c r="AS864" s="74"/>
      <c r="AT864" s="74"/>
      <c r="AU864" s="74"/>
      <c r="AV864" s="74"/>
      <c r="AW864" s="74"/>
      <c r="AX864" s="74"/>
      <c r="AY864" s="74"/>
      <c r="AZ864" s="74"/>
      <c r="BA864" s="74"/>
      <c r="BB864" s="74"/>
      <c r="BC864" s="74"/>
      <c r="BD864" s="74"/>
      <c r="BE864" s="74"/>
      <c r="BF864" s="74"/>
      <c r="BG864" s="74"/>
      <c r="BH864" s="74"/>
      <c r="BI864" s="74"/>
      <c r="BJ864" s="74"/>
      <c r="BK864" s="74"/>
      <c r="BL864" s="74"/>
      <c r="BM864" s="74"/>
      <c r="BN864" s="74"/>
      <c r="BO864" s="74"/>
      <c r="BP864" s="74"/>
      <c r="BQ864" s="74"/>
      <c r="BR864" s="74"/>
      <c r="BS864" s="74"/>
      <c r="BT864" s="74"/>
      <c r="BU864" s="74"/>
      <c r="BV864" s="74"/>
      <c r="BW864" s="74"/>
    </row>
    <row r="865" ht="21.0" customHeight="1">
      <c r="A865" s="43"/>
      <c r="B865" s="75" t="s">
        <v>788</v>
      </c>
      <c r="C865" s="75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  <c r="AK865" s="74"/>
      <c r="AL865" s="74"/>
      <c r="AM865" s="74"/>
      <c r="AN865" s="74"/>
      <c r="AO865" s="74"/>
      <c r="AP865" s="74"/>
      <c r="AQ865" s="74"/>
      <c r="AR865" s="74"/>
      <c r="AS865" s="74"/>
      <c r="AT865" s="74"/>
      <c r="AU865" s="74"/>
      <c r="AV865" s="74"/>
      <c r="AW865" s="74"/>
      <c r="AX865" s="74"/>
      <c r="AY865" s="74"/>
      <c r="AZ865" s="74"/>
      <c r="BA865" s="74"/>
      <c r="BB865" s="74"/>
      <c r="BC865" s="74"/>
      <c r="BD865" s="74"/>
      <c r="BE865" s="74"/>
      <c r="BF865" s="74"/>
      <c r="BG865" s="74"/>
      <c r="BH865" s="74"/>
      <c r="BI865" s="74"/>
      <c r="BJ865" s="74"/>
      <c r="BK865" s="74"/>
      <c r="BL865" s="74"/>
      <c r="BM865" s="74"/>
      <c r="BN865" s="74"/>
      <c r="BO865" s="74"/>
      <c r="BP865" s="74"/>
      <c r="BQ865" s="74"/>
      <c r="BR865" s="74"/>
      <c r="BS865" s="74"/>
      <c r="BT865" s="74"/>
      <c r="BU865" s="74"/>
      <c r="BV865" s="74"/>
      <c r="BW865" s="74"/>
    </row>
    <row r="866" ht="21.0" customHeight="1">
      <c r="A866" s="43"/>
      <c r="B866" s="76" t="s">
        <v>789</v>
      </c>
      <c r="C866" s="77">
        <f>vlookup(B866,'재고 백업'!$A:$B,2,0)</f>
        <v>24</v>
      </c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  <c r="AK866" s="74"/>
      <c r="AL866" s="74"/>
      <c r="AM866" s="74"/>
      <c r="AN866" s="74"/>
      <c r="AO866" s="74"/>
      <c r="AP866" s="74"/>
      <c r="AQ866" s="74"/>
      <c r="AR866" s="74"/>
      <c r="AS866" s="74"/>
      <c r="AT866" s="74"/>
      <c r="AU866" s="74"/>
      <c r="AV866" s="74"/>
      <c r="AW866" s="74"/>
      <c r="AX866" s="74"/>
      <c r="AY866" s="74"/>
      <c r="AZ866" s="74"/>
      <c r="BA866" s="74"/>
      <c r="BB866" s="74"/>
      <c r="BC866" s="74"/>
      <c r="BD866" s="74"/>
      <c r="BE866" s="74"/>
      <c r="BF866" s="74"/>
      <c r="BG866" s="74"/>
      <c r="BH866" s="74"/>
      <c r="BI866" s="74"/>
      <c r="BJ866" s="74"/>
      <c r="BK866" s="74"/>
      <c r="BL866" s="74"/>
      <c r="BM866" s="74"/>
      <c r="BN866" s="74"/>
      <c r="BO866" s="74"/>
      <c r="BP866" s="74"/>
      <c r="BQ866" s="74"/>
      <c r="BR866" s="74"/>
      <c r="BS866" s="74"/>
      <c r="BT866" s="74"/>
      <c r="BU866" s="74"/>
      <c r="BV866" s="74"/>
      <c r="BW866" s="74"/>
    </row>
    <row r="867" ht="21.0" customHeight="1">
      <c r="A867" s="43"/>
      <c r="B867" s="76" t="s">
        <v>790</v>
      </c>
      <c r="C867" s="77">
        <f>vlookup(B867,'재고 백업'!$A:$B,2,0)</f>
        <v>24</v>
      </c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  <c r="AK867" s="74"/>
      <c r="AL867" s="74"/>
      <c r="AM867" s="74"/>
      <c r="AN867" s="74"/>
      <c r="AO867" s="74"/>
      <c r="AP867" s="74"/>
      <c r="AQ867" s="74"/>
      <c r="AR867" s="74"/>
      <c r="AS867" s="74"/>
      <c r="AT867" s="74"/>
      <c r="AU867" s="74"/>
      <c r="AV867" s="74"/>
      <c r="AW867" s="74"/>
      <c r="AX867" s="74"/>
      <c r="AY867" s="74"/>
      <c r="AZ867" s="74"/>
      <c r="BA867" s="74"/>
      <c r="BB867" s="74"/>
      <c r="BC867" s="74"/>
      <c r="BD867" s="74"/>
      <c r="BE867" s="74"/>
      <c r="BF867" s="74"/>
      <c r="BG867" s="74"/>
      <c r="BH867" s="74"/>
      <c r="BI867" s="74"/>
      <c r="BJ867" s="74"/>
      <c r="BK867" s="74"/>
      <c r="BL867" s="74"/>
      <c r="BM867" s="74"/>
      <c r="BN867" s="74"/>
      <c r="BO867" s="74"/>
      <c r="BP867" s="74"/>
      <c r="BQ867" s="74"/>
      <c r="BR867" s="74"/>
      <c r="BS867" s="74"/>
      <c r="BT867" s="74"/>
      <c r="BU867" s="74"/>
      <c r="BV867" s="74"/>
      <c r="BW867" s="74"/>
    </row>
    <row r="868" ht="21.0" customHeight="1">
      <c r="A868" s="43"/>
      <c r="B868" s="76" t="s">
        <v>791</v>
      </c>
      <c r="C868" s="77">
        <f>vlookup(B868,'재고 백업'!$A:$B,2,0)</f>
        <v>24</v>
      </c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  <c r="AK868" s="74"/>
      <c r="AL868" s="74"/>
      <c r="AM868" s="74"/>
      <c r="AN868" s="74"/>
      <c r="AO868" s="74"/>
      <c r="AP868" s="74"/>
      <c r="AQ868" s="74"/>
      <c r="AR868" s="74"/>
      <c r="AS868" s="74"/>
      <c r="AT868" s="74"/>
      <c r="AU868" s="74"/>
      <c r="AV868" s="74"/>
      <c r="AW868" s="74"/>
      <c r="AX868" s="74"/>
      <c r="AY868" s="74"/>
      <c r="AZ868" s="74"/>
      <c r="BA868" s="74"/>
      <c r="BB868" s="74"/>
      <c r="BC868" s="74"/>
      <c r="BD868" s="74"/>
      <c r="BE868" s="74"/>
      <c r="BF868" s="74"/>
      <c r="BG868" s="74"/>
      <c r="BH868" s="74"/>
      <c r="BI868" s="74"/>
      <c r="BJ868" s="74"/>
      <c r="BK868" s="74"/>
      <c r="BL868" s="74"/>
      <c r="BM868" s="74"/>
      <c r="BN868" s="74"/>
      <c r="BO868" s="74"/>
      <c r="BP868" s="74"/>
      <c r="BQ868" s="74"/>
      <c r="BR868" s="74"/>
      <c r="BS868" s="74"/>
      <c r="BT868" s="74"/>
      <c r="BU868" s="74"/>
      <c r="BV868" s="74"/>
      <c r="BW868" s="74"/>
    </row>
    <row r="869" ht="21.0" customHeight="1">
      <c r="A869" s="43"/>
      <c r="B869" s="76" t="s">
        <v>792</v>
      </c>
      <c r="C869" s="77">
        <f>vlookup(B869,'재고 백업'!$A:$B,2,0)</f>
        <v>24</v>
      </c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  <c r="AK869" s="74"/>
      <c r="AL869" s="74"/>
      <c r="AM869" s="74"/>
      <c r="AN869" s="74"/>
      <c r="AO869" s="74"/>
      <c r="AP869" s="74"/>
      <c r="AQ869" s="74"/>
      <c r="AR869" s="74"/>
      <c r="AS869" s="74"/>
      <c r="AT869" s="74"/>
      <c r="AU869" s="74"/>
      <c r="AV869" s="74"/>
      <c r="AW869" s="74"/>
      <c r="AX869" s="74"/>
      <c r="AY869" s="74"/>
      <c r="AZ869" s="74"/>
      <c r="BA869" s="74"/>
      <c r="BB869" s="74"/>
      <c r="BC869" s="74"/>
      <c r="BD869" s="74"/>
      <c r="BE869" s="74"/>
      <c r="BF869" s="74"/>
      <c r="BG869" s="74"/>
      <c r="BH869" s="74"/>
      <c r="BI869" s="74"/>
      <c r="BJ869" s="74"/>
      <c r="BK869" s="74"/>
      <c r="BL869" s="74"/>
      <c r="BM869" s="74"/>
      <c r="BN869" s="74"/>
      <c r="BO869" s="74"/>
      <c r="BP869" s="74"/>
      <c r="BQ869" s="74"/>
      <c r="BR869" s="74"/>
      <c r="BS869" s="74"/>
      <c r="BT869" s="74"/>
      <c r="BU869" s="74"/>
      <c r="BV869" s="74"/>
      <c r="BW869" s="74"/>
    </row>
    <row r="870" ht="21.0" customHeight="1">
      <c r="A870" s="43"/>
      <c r="B870" s="76" t="s">
        <v>793</v>
      </c>
      <c r="C870" s="77">
        <f>vlookup(B870,'재고 백업'!$A:$B,2,0)</f>
        <v>16</v>
      </c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  <c r="AK870" s="74"/>
      <c r="AL870" s="74"/>
      <c r="AM870" s="74"/>
      <c r="AN870" s="74"/>
      <c r="AO870" s="74"/>
      <c r="AP870" s="74"/>
      <c r="AQ870" s="74"/>
      <c r="AR870" s="74"/>
      <c r="AS870" s="74"/>
      <c r="AT870" s="74"/>
      <c r="AU870" s="74"/>
      <c r="AV870" s="74"/>
      <c r="AW870" s="74"/>
      <c r="AX870" s="74"/>
      <c r="AY870" s="74"/>
      <c r="AZ870" s="74"/>
      <c r="BA870" s="74"/>
      <c r="BB870" s="74"/>
      <c r="BC870" s="74"/>
      <c r="BD870" s="74"/>
      <c r="BE870" s="74"/>
      <c r="BF870" s="74"/>
      <c r="BG870" s="74"/>
      <c r="BH870" s="74"/>
      <c r="BI870" s="74"/>
      <c r="BJ870" s="74"/>
      <c r="BK870" s="74"/>
      <c r="BL870" s="74"/>
      <c r="BM870" s="74"/>
      <c r="BN870" s="74"/>
      <c r="BO870" s="74"/>
      <c r="BP870" s="74"/>
      <c r="BQ870" s="74"/>
      <c r="BR870" s="74"/>
      <c r="BS870" s="74"/>
      <c r="BT870" s="74"/>
      <c r="BU870" s="74"/>
      <c r="BV870" s="74"/>
      <c r="BW870" s="74"/>
    </row>
    <row r="871" ht="21.0" customHeight="1">
      <c r="A871" s="43"/>
      <c r="B871" s="76" t="s">
        <v>794</v>
      </c>
      <c r="C871" s="77">
        <f>vlookup(B871,'재고 백업'!$A:$B,2,0)</f>
        <v>3</v>
      </c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  <c r="AK871" s="74"/>
      <c r="AL871" s="74"/>
      <c r="AM871" s="74"/>
      <c r="AN871" s="74"/>
      <c r="AO871" s="74"/>
      <c r="AP871" s="74"/>
      <c r="AQ871" s="74"/>
      <c r="AR871" s="74"/>
      <c r="AS871" s="74"/>
      <c r="AT871" s="74"/>
      <c r="AU871" s="74"/>
      <c r="AV871" s="74"/>
      <c r="AW871" s="74"/>
      <c r="AX871" s="74"/>
      <c r="AY871" s="74"/>
      <c r="AZ871" s="74"/>
      <c r="BA871" s="74"/>
      <c r="BB871" s="74"/>
      <c r="BC871" s="74"/>
      <c r="BD871" s="74"/>
      <c r="BE871" s="74"/>
      <c r="BF871" s="74"/>
      <c r="BG871" s="74"/>
      <c r="BH871" s="74"/>
      <c r="BI871" s="74"/>
      <c r="BJ871" s="74"/>
      <c r="BK871" s="74"/>
      <c r="BL871" s="74"/>
      <c r="BM871" s="74"/>
      <c r="BN871" s="74"/>
      <c r="BO871" s="74"/>
      <c r="BP871" s="74"/>
      <c r="BQ871" s="74"/>
      <c r="BR871" s="74"/>
      <c r="BS871" s="74"/>
      <c r="BT871" s="74"/>
      <c r="BU871" s="74"/>
      <c r="BV871" s="74"/>
      <c r="BW871" s="74"/>
    </row>
    <row r="872" ht="21.0" customHeight="1">
      <c r="A872" s="43"/>
      <c r="B872" s="76" t="s">
        <v>795</v>
      </c>
      <c r="C872" s="77">
        <f>vlookup(B872,'재고 백업'!$A:$B,2,0)</f>
        <v>16</v>
      </c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  <c r="AK872" s="74"/>
      <c r="AL872" s="74"/>
      <c r="AM872" s="74"/>
      <c r="AN872" s="74"/>
      <c r="AO872" s="74"/>
      <c r="AP872" s="74"/>
      <c r="AQ872" s="74"/>
      <c r="AR872" s="74"/>
      <c r="AS872" s="74"/>
      <c r="AT872" s="74"/>
      <c r="AU872" s="74"/>
      <c r="AV872" s="74"/>
      <c r="AW872" s="74"/>
      <c r="AX872" s="74"/>
      <c r="AY872" s="74"/>
      <c r="AZ872" s="74"/>
      <c r="BA872" s="74"/>
      <c r="BB872" s="74"/>
      <c r="BC872" s="74"/>
      <c r="BD872" s="74"/>
      <c r="BE872" s="74"/>
      <c r="BF872" s="74"/>
      <c r="BG872" s="74"/>
      <c r="BH872" s="74"/>
      <c r="BI872" s="74"/>
      <c r="BJ872" s="74"/>
      <c r="BK872" s="74"/>
      <c r="BL872" s="74"/>
      <c r="BM872" s="74"/>
      <c r="BN872" s="74"/>
      <c r="BO872" s="74"/>
      <c r="BP872" s="74"/>
      <c r="BQ872" s="74"/>
      <c r="BR872" s="74"/>
      <c r="BS872" s="74"/>
      <c r="BT872" s="74"/>
      <c r="BU872" s="74"/>
      <c r="BV872" s="74"/>
      <c r="BW872" s="74"/>
    </row>
    <row r="873" ht="21.0" customHeight="1">
      <c r="A873" s="43"/>
      <c r="B873" s="76" t="s">
        <v>796</v>
      </c>
      <c r="C873" s="77">
        <f>vlookup(B873,'재고 백업'!$A:$B,2,0)</f>
        <v>16</v>
      </c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  <c r="AK873" s="74"/>
      <c r="AL873" s="74"/>
      <c r="AM873" s="74"/>
      <c r="AN873" s="74"/>
      <c r="AO873" s="74"/>
      <c r="AP873" s="74"/>
      <c r="AQ873" s="74"/>
      <c r="AR873" s="74"/>
      <c r="AS873" s="74"/>
      <c r="AT873" s="74"/>
      <c r="AU873" s="74"/>
      <c r="AV873" s="74"/>
      <c r="AW873" s="74"/>
      <c r="AX873" s="74"/>
      <c r="AY873" s="74"/>
      <c r="AZ873" s="74"/>
      <c r="BA873" s="74"/>
      <c r="BB873" s="74"/>
      <c r="BC873" s="74"/>
      <c r="BD873" s="74"/>
      <c r="BE873" s="74"/>
      <c r="BF873" s="74"/>
      <c r="BG873" s="74"/>
      <c r="BH873" s="74"/>
      <c r="BI873" s="74"/>
      <c r="BJ873" s="74"/>
      <c r="BK873" s="74"/>
      <c r="BL873" s="74"/>
      <c r="BM873" s="74"/>
      <c r="BN873" s="74"/>
      <c r="BO873" s="74"/>
      <c r="BP873" s="74"/>
      <c r="BQ873" s="74"/>
      <c r="BR873" s="74"/>
      <c r="BS873" s="74"/>
      <c r="BT873" s="74"/>
      <c r="BU873" s="74"/>
      <c r="BV873" s="74"/>
      <c r="BW873" s="74"/>
    </row>
    <row r="874" ht="21.0" customHeight="1">
      <c r="A874" s="43"/>
      <c r="B874" s="76" t="s">
        <v>797</v>
      </c>
      <c r="C874" s="77">
        <f>vlookup(B874,'재고 백업'!$A:$B,2,0)</f>
        <v>8</v>
      </c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  <c r="AK874" s="74"/>
      <c r="AL874" s="74"/>
      <c r="AM874" s="74"/>
      <c r="AN874" s="74"/>
      <c r="AO874" s="74"/>
      <c r="AP874" s="74"/>
      <c r="AQ874" s="74"/>
      <c r="AR874" s="74"/>
      <c r="AS874" s="74"/>
      <c r="AT874" s="74"/>
      <c r="AU874" s="74"/>
      <c r="AV874" s="74"/>
      <c r="AW874" s="74"/>
      <c r="AX874" s="74"/>
      <c r="AY874" s="74"/>
      <c r="AZ874" s="74"/>
      <c r="BA874" s="74"/>
      <c r="BB874" s="74"/>
      <c r="BC874" s="74"/>
      <c r="BD874" s="74"/>
      <c r="BE874" s="74"/>
      <c r="BF874" s="74"/>
      <c r="BG874" s="74"/>
      <c r="BH874" s="74"/>
      <c r="BI874" s="74"/>
      <c r="BJ874" s="74"/>
      <c r="BK874" s="74"/>
      <c r="BL874" s="74"/>
      <c r="BM874" s="74"/>
      <c r="BN874" s="74"/>
      <c r="BO874" s="74"/>
      <c r="BP874" s="74"/>
      <c r="BQ874" s="74"/>
      <c r="BR874" s="74"/>
      <c r="BS874" s="74"/>
      <c r="BT874" s="74"/>
      <c r="BU874" s="74"/>
      <c r="BV874" s="74"/>
      <c r="BW874" s="74"/>
    </row>
    <row r="875" ht="21.0" customHeight="1">
      <c r="A875" s="43"/>
      <c r="B875" s="76" t="s">
        <v>798</v>
      </c>
      <c r="C875" s="77">
        <f>vlookup(B875,'재고 백업'!$A:$B,2,0)</f>
        <v>6</v>
      </c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  <c r="AK875" s="74"/>
      <c r="AL875" s="74"/>
      <c r="AM875" s="74"/>
      <c r="AN875" s="74"/>
      <c r="AO875" s="74"/>
      <c r="AP875" s="74"/>
      <c r="AQ875" s="74"/>
      <c r="AR875" s="74"/>
      <c r="AS875" s="74"/>
      <c r="AT875" s="74"/>
      <c r="AU875" s="74"/>
      <c r="AV875" s="74"/>
      <c r="AW875" s="74"/>
      <c r="AX875" s="74"/>
      <c r="AY875" s="74"/>
      <c r="AZ875" s="74"/>
      <c r="BA875" s="74"/>
      <c r="BB875" s="74"/>
      <c r="BC875" s="74"/>
      <c r="BD875" s="74"/>
      <c r="BE875" s="74"/>
      <c r="BF875" s="74"/>
      <c r="BG875" s="74"/>
      <c r="BH875" s="74"/>
      <c r="BI875" s="74"/>
      <c r="BJ875" s="74"/>
      <c r="BK875" s="74"/>
      <c r="BL875" s="74"/>
      <c r="BM875" s="74"/>
      <c r="BN875" s="74"/>
      <c r="BO875" s="74"/>
      <c r="BP875" s="74"/>
      <c r="BQ875" s="74"/>
      <c r="BR875" s="74"/>
      <c r="BS875" s="74"/>
      <c r="BT875" s="74"/>
      <c r="BU875" s="74"/>
      <c r="BV875" s="74"/>
      <c r="BW875" s="74"/>
    </row>
    <row r="876" ht="21.0" customHeight="1">
      <c r="A876" s="43"/>
      <c r="B876" s="76" t="s">
        <v>799</v>
      </c>
      <c r="C876" s="77">
        <f>vlookup(B876,'재고 백업'!$A:$B,2,0)</f>
        <v>9</v>
      </c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  <c r="AK876" s="74"/>
      <c r="AL876" s="74"/>
      <c r="AM876" s="74"/>
      <c r="AN876" s="74"/>
      <c r="AO876" s="74"/>
      <c r="AP876" s="74"/>
      <c r="AQ876" s="74"/>
      <c r="AR876" s="74"/>
      <c r="AS876" s="74"/>
      <c r="AT876" s="74"/>
      <c r="AU876" s="74"/>
      <c r="AV876" s="74"/>
      <c r="AW876" s="74"/>
      <c r="AX876" s="74"/>
      <c r="AY876" s="74"/>
      <c r="AZ876" s="74"/>
      <c r="BA876" s="74"/>
      <c r="BB876" s="74"/>
      <c r="BC876" s="74"/>
      <c r="BD876" s="74"/>
      <c r="BE876" s="74"/>
      <c r="BF876" s="74"/>
      <c r="BG876" s="74"/>
      <c r="BH876" s="74"/>
      <c r="BI876" s="74"/>
      <c r="BJ876" s="74"/>
      <c r="BK876" s="74"/>
      <c r="BL876" s="74"/>
      <c r="BM876" s="74"/>
      <c r="BN876" s="74"/>
      <c r="BO876" s="74"/>
      <c r="BP876" s="74"/>
      <c r="BQ876" s="74"/>
      <c r="BR876" s="74"/>
      <c r="BS876" s="74"/>
      <c r="BT876" s="74"/>
      <c r="BU876" s="74"/>
      <c r="BV876" s="74"/>
      <c r="BW876" s="74"/>
    </row>
    <row r="877" ht="21.0" customHeight="1">
      <c r="A877" s="43"/>
      <c r="B877" s="27"/>
      <c r="C877" s="27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  <c r="AK877" s="74"/>
      <c r="AL877" s="74"/>
      <c r="AM877" s="74"/>
      <c r="AN877" s="74"/>
      <c r="AO877" s="74"/>
      <c r="AP877" s="74"/>
      <c r="AQ877" s="74"/>
      <c r="AR877" s="74"/>
      <c r="AS877" s="74"/>
      <c r="AT877" s="74"/>
      <c r="AU877" s="74"/>
      <c r="AV877" s="74"/>
      <c r="AW877" s="74"/>
      <c r="AX877" s="74"/>
      <c r="AY877" s="74"/>
      <c r="AZ877" s="74"/>
      <c r="BA877" s="74"/>
      <c r="BB877" s="74"/>
      <c r="BC877" s="74"/>
      <c r="BD877" s="74"/>
      <c r="BE877" s="74"/>
      <c r="BF877" s="74"/>
      <c r="BG877" s="74"/>
      <c r="BH877" s="74"/>
      <c r="BI877" s="74"/>
      <c r="BJ877" s="74"/>
      <c r="BK877" s="74"/>
      <c r="BL877" s="74"/>
      <c r="BM877" s="74"/>
      <c r="BN877" s="74"/>
      <c r="BO877" s="74"/>
      <c r="BP877" s="74"/>
      <c r="BQ877" s="74"/>
      <c r="BR877" s="74"/>
      <c r="BS877" s="74"/>
      <c r="BT877" s="74"/>
      <c r="BU877" s="74"/>
      <c r="BV877" s="74"/>
      <c r="BW877" s="74"/>
    </row>
    <row r="878" ht="21.0" customHeight="1">
      <c r="A878" s="43"/>
      <c r="B878" s="27"/>
      <c r="C878" s="27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  <c r="AK878" s="74"/>
      <c r="AL878" s="74"/>
      <c r="AM878" s="74"/>
      <c r="AN878" s="74"/>
      <c r="AO878" s="74"/>
      <c r="AP878" s="74"/>
      <c r="AQ878" s="74"/>
      <c r="AR878" s="74"/>
      <c r="AS878" s="74"/>
      <c r="AT878" s="74"/>
      <c r="AU878" s="74"/>
      <c r="AV878" s="74"/>
      <c r="AW878" s="74"/>
      <c r="AX878" s="74"/>
      <c r="AY878" s="74"/>
      <c r="AZ878" s="74"/>
      <c r="BA878" s="74"/>
      <c r="BB878" s="74"/>
      <c r="BC878" s="74"/>
      <c r="BD878" s="74"/>
      <c r="BE878" s="74"/>
      <c r="BF878" s="74"/>
      <c r="BG878" s="74"/>
      <c r="BH878" s="74"/>
      <c r="BI878" s="74"/>
      <c r="BJ878" s="74"/>
      <c r="BK878" s="74"/>
      <c r="BL878" s="74"/>
      <c r="BM878" s="74"/>
      <c r="BN878" s="74"/>
      <c r="BO878" s="74"/>
      <c r="BP878" s="74"/>
      <c r="BQ878" s="74"/>
      <c r="BR878" s="74"/>
      <c r="BS878" s="74"/>
      <c r="BT878" s="74"/>
      <c r="BU878" s="74"/>
      <c r="BV878" s="74"/>
      <c r="BW878" s="74"/>
    </row>
    <row r="879" ht="21.0" customHeight="1">
      <c r="A879" s="12"/>
      <c r="B879" s="78" t="s">
        <v>800</v>
      </c>
      <c r="C879" s="78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  <c r="AQ879" s="72"/>
      <c r="AR879" s="72"/>
      <c r="AS879" s="72"/>
      <c r="AT879" s="72"/>
      <c r="AU879" s="72"/>
      <c r="AV879" s="72"/>
      <c r="AW879" s="72"/>
      <c r="AX879" s="72"/>
      <c r="AY879" s="72"/>
      <c r="AZ879" s="72"/>
      <c r="BA879" s="72"/>
      <c r="BB879" s="72"/>
      <c r="BC879" s="72"/>
      <c r="BD879" s="72"/>
      <c r="BE879" s="72"/>
      <c r="BF879" s="72"/>
      <c r="BG879" s="72"/>
      <c r="BH879" s="72"/>
      <c r="BI879" s="72"/>
      <c r="BJ879" s="72"/>
      <c r="BK879" s="72"/>
      <c r="BL879" s="72"/>
      <c r="BM879" s="72"/>
      <c r="BN879" s="72"/>
      <c r="BO879" s="72"/>
      <c r="BP879" s="72"/>
      <c r="BQ879" s="72"/>
      <c r="BR879" s="72"/>
      <c r="BS879" s="72"/>
      <c r="BT879" s="72"/>
      <c r="BU879" s="72"/>
      <c r="BV879" s="72"/>
      <c r="BW879" s="72"/>
    </row>
    <row r="880" ht="21.0" customHeight="1">
      <c r="A880" s="12"/>
      <c r="B880" s="21" t="s">
        <v>801</v>
      </c>
      <c r="C880" s="21">
        <f>vlookup(B880,'재고 백업'!$A:$B,2,0)</f>
        <v>9999</v>
      </c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  <c r="AQ880" s="72"/>
      <c r="AR880" s="72"/>
      <c r="AS880" s="72"/>
      <c r="AT880" s="72"/>
      <c r="AU880" s="72"/>
      <c r="AV880" s="72"/>
      <c r="AW880" s="72"/>
      <c r="AX880" s="72"/>
      <c r="AY880" s="72"/>
      <c r="AZ880" s="72"/>
      <c r="BA880" s="72"/>
      <c r="BB880" s="72"/>
      <c r="BC880" s="72"/>
      <c r="BD880" s="72"/>
      <c r="BE880" s="72"/>
      <c r="BF880" s="72"/>
      <c r="BG880" s="72"/>
      <c r="BH880" s="72"/>
      <c r="BI880" s="72"/>
      <c r="BJ880" s="72"/>
      <c r="BK880" s="72"/>
      <c r="BL880" s="72"/>
      <c r="BM880" s="72"/>
      <c r="BN880" s="72"/>
      <c r="BO880" s="72"/>
      <c r="BP880" s="72"/>
      <c r="BQ880" s="72"/>
      <c r="BR880" s="72"/>
      <c r="BS880" s="72"/>
      <c r="BT880" s="72"/>
      <c r="BU880" s="72"/>
      <c r="BV880" s="72"/>
      <c r="BW880" s="72"/>
    </row>
    <row r="881" ht="21.0" customHeight="1">
      <c r="A881" s="12"/>
      <c r="B881" s="21" t="s">
        <v>802</v>
      </c>
      <c r="C881" s="21">
        <f>vlookup(B881,'재고 백업'!$A:$B,2,0)</f>
        <v>9999</v>
      </c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  <c r="AQ881" s="72"/>
      <c r="AR881" s="72"/>
      <c r="AS881" s="72"/>
      <c r="AT881" s="72"/>
      <c r="AU881" s="72"/>
      <c r="AV881" s="72"/>
      <c r="AW881" s="72"/>
      <c r="AX881" s="72"/>
      <c r="AY881" s="72"/>
      <c r="AZ881" s="72"/>
      <c r="BA881" s="72"/>
      <c r="BB881" s="72"/>
      <c r="BC881" s="72"/>
      <c r="BD881" s="72"/>
      <c r="BE881" s="72"/>
      <c r="BF881" s="72"/>
      <c r="BG881" s="72"/>
      <c r="BH881" s="72"/>
      <c r="BI881" s="72"/>
      <c r="BJ881" s="72"/>
      <c r="BK881" s="72"/>
      <c r="BL881" s="72"/>
      <c r="BM881" s="72"/>
      <c r="BN881" s="72"/>
      <c r="BO881" s="72"/>
      <c r="BP881" s="72"/>
      <c r="BQ881" s="72"/>
      <c r="BR881" s="72"/>
      <c r="BS881" s="72"/>
      <c r="BT881" s="72"/>
      <c r="BU881" s="72"/>
      <c r="BV881" s="72"/>
      <c r="BW881" s="72"/>
    </row>
    <row r="882" ht="21.0" customHeight="1">
      <c r="A882" s="12"/>
      <c r="B882" s="21" t="s">
        <v>803</v>
      </c>
      <c r="C882" s="21">
        <f>vlookup(B882,'재고 백업'!$A:$B,2,0)</f>
        <v>9999</v>
      </c>
      <c r="D882" s="79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  <c r="AQ882" s="72"/>
      <c r="AR882" s="72"/>
      <c r="AS882" s="72"/>
      <c r="AT882" s="72"/>
      <c r="AU882" s="72"/>
      <c r="AV882" s="72"/>
      <c r="AW882" s="72"/>
      <c r="AX882" s="72"/>
      <c r="AY882" s="72"/>
      <c r="AZ882" s="72"/>
      <c r="BA882" s="72"/>
      <c r="BB882" s="72"/>
      <c r="BC882" s="72"/>
      <c r="BD882" s="72"/>
      <c r="BE882" s="72"/>
      <c r="BF882" s="72"/>
      <c r="BG882" s="72"/>
      <c r="BH882" s="72"/>
      <c r="BI882" s="72"/>
      <c r="BJ882" s="72"/>
      <c r="BK882" s="72"/>
      <c r="BL882" s="72"/>
      <c r="BM882" s="72"/>
      <c r="BN882" s="72"/>
      <c r="BO882" s="72"/>
      <c r="BP882" s="72"/>
      <c r="BQ882" s="72"/>
      <c r="BR882" s="72"/>
      <c r="BS882" s="72"/>
      <c r="BT882" s="72"/>
      <c r="BU882" s="72"/>
      <c r="BV882" s="72"/>
      <c r="BW882" s="72"/>
    </row>
    <row r="883" ht="21.0" customHeight="1">
      <c r="A883" s="12"/>
      <c r="B883" s="21" t="s">
        <v>804</v>
      </c>
      <c r="C883" s="21">
        <f>vlookup(B883,'재고 백업'!$A:$B,2,0)</f>
        <v>9999</v>
      </c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  <c r="AQ883" s="72"/>
      <c r="AR883" s="72"/>
      <c r="AS883" s="72"/>
      <c r="AT883" s="72"/>
      <c r="AU883" s="72"/>
      <c r="AV883" s="72"/>
      <c r="AW883" s="72"/>
      <c r="AX883" s="72"/>
      <c r="AY883" s="72"/>
      <c r="AZ883" s="72"/>
      <c r="BA883" s="72"/>
      <c r="BB883" s="72"/>
      <c r="BC883" s="72"/>
      <c r="BD883" s="72"/>
      <c r="BE883" s="72"/>
      <c r="BF883" s="72"/>
      <c r="BG883" s="72"/>
      <c r="BH883" s="72"/>
      <c r="BI883" s="72"/>
      <c r="BJ883" s="72"/>
      <c r="BK883" s="72"/>
      <c r="BL883" s="72"/>
      <c r="BM883" s="72"/>
      <c r="BN883" s="72"/>
      <c r="BO883" s="72"/>
      <c r="BP883" s="72"/>
      <c r="BQ883" s="72"/>
      <c r="BR883" s="72"/>
      <c r="BS883" s="72"/>
      <c r="BT883" s="72"/>
      <c r="BU883" s="72"/>
      <c r="BV883" s="72"/>
      <c r="BW883" s="72"/>
    </row>
    <row r="884" ht="21.0" customHeight="1">
      <c r="A884" s="12"/>
      <c r="B884" s="21" t="s">
        <v>805</v>
      </c>
      <c r="C884" s="21">
        <f>vlookup(B884,'재고 백업'!$A:$B,2,0)</f>
        <v>9999</v>
      </c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  <c r="AQ884" s="72"/>
      <c r="AR884" s="72"/>
      <c r="AS884" s="72"/>
      <c r="AT884" s="72"/>
      <c r="AU884" s="72"/>
      <c r="AV884" s="72"/>
      <c r="AW884" s="72"/>
      <c r="AX884" s="72"/>
      <c r="AY884" s="72"/>
      <c r="AZ884" s="72"/>
      <c r="BA884" s="72"/>
      <c r="BB884" s="72"/>
      <c r="BC884" s="72"/>
      <c r="BD884" s="72"/>
      <c r="BE884" s="72"/>
      <c r="BF884" s="72"/>
      <c r="BG884" s="72"/>
      <c r="BH884" s="72"/>
      <c r="BI884" s="72"/>
      <c r="BJ884" s="72"/>
      <c r="BK884" s="72"/>
      <c r="BL884" s="72"/>
      <c r="BM884" s="72"/>
      <c r="BN884" s="72"/>
      <c r="BO884" s="72"/>
      <c r="BP884" s="72"/>
      <c r="BQ884" s="72"/>
      <c r="BR884" s="72"/>
      <c r="BS884" s="72"/>
      <c r="BT884" s="72"/>
      <c r="BU884" s="72"/>
      <c r="BV884" s="72"/>
      <c r="BW884" s="72"/>
    </row>
    <row r="885" ht="21.0" customHeight="1">
      <c r="A885" s="12"/>
      <c r="B885" s="80"/>
      <c r="C885" s="81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  <c r="AQ885" s="72"/>
      <c r="AR885" s="72"/>
      <c r="AS885" s="72"/>
      <c r="AT885" s="72"/>
      <c r="AU885" s="72"/>
      <c r="AV885" s="72"/>
      <c r="AW885" s="72"/>
      <c r="AX885" s="72"/>
      <c r="AY885" s="72"/>
      <c r="AZ885" s="72"/>
      <c r="BA885" s="72"/>
      <c r="BB885" s="72"/>
      <c r="BC885" s="72"/>
      <c r="BD885" s="72"/>
      <c r="BE885" s="72"/>
      <c r="BF885" s="72"/>
      <c r="BG885" s="72"/>
      <c r="BH885" s="72"/>
      <c r="BI885" s="72"/>
      <c r="BJ885" s="72"/>
      <c r="BK885" s="72"/>
      <c r="BL885" s="72"/>
      <c r="BM885" s="72"/>
      <c r="BN885" s="72"/>
      <c r="BO885" s="72"/>
      <c r="BP885" s="72"/>
      <c r="BQ885" s="72"/>
      <c r="BR885" s="72"/>
      <c r="BS885" s="72"/>
      <c r="BT885" s="72"/>
      <c r="BU885" s="72"/>
      <c r="BV885" s="72"/>
      <c r="BW885" s="72"/>
    </row>
    <row r="886" ht="21.0" customHeight="1">
      <c r="A886" s="12"/>
      <c r="B886" s="80"/>
      <c r="C886" s="8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  <c r="AQ886" s="72"/>
      <c r="AR886" s="72"/>
      <c r="AS886" s="72"/>
      <c r="AT886" s="72"/>
      <c r="AU886" s="72"/>
      <c r="AV886" s="72"/>
      <c r="AW886" s="72"/>
      <c r="AX886" s="72"/>
      <c r="AY886" s="72"/>
      <c r="AZ886" s="72"/>
      <c r="BA886" s="72"/>
      <c r="BB886" s="72"/>
      <c r="BC886" s="72"/>
      <c r="BD886" s="72"/>
      <c r="BE886" s="72"/>
      <c r="BF886" s="72"/>
      <c r="BG886" s="72"/>
      <c r="BH886" s="72"/>
      <c r="BI886" s="72"/>
      <c r="BJ886" s="72"/>
      <c r="BK886" s="72"/>
      <c r="BL886" s="72"/>
      <c r="BM886" s="72"/>
      <c r="BN886" s="72"/>
      <c r="BO886" s="72"/>
      <c r="BP886" s="72"/>
      <c r="BQ886" s="72"/>
      <c r="BR886" s="72"/>
      <c r="BS886" s="72"/>
      <c r="BT886" s="72"/>
      <c r="BU886" s="72"/>
      <c r="BV886" s="72"/>
      <c r="BW886" s="72"/>
    </row>
    <row r="887" ht="21.0" customHeight="1">
      <c r="A887" s="12"/>
      <c r="B887" s="80"/>
      <c r="C887" s="81" t="str">
        <f>SUM(C14:C876)</f>
        <v>#REF!</v>
      </c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  <c r="AQ887" s="72"/>
      <c r="AR887" s="72"/>
      <c r="AS887" s="72"/>
      <c r="AT887" s="72"/>
      <c r="AU887" s="72"/>
      <c r="AV887" s="72"/>
      <c r="AW887" s="72"/>
      <c r="AX887" s="72"/>
      <c r="AY887" s="72"/>
      <c r="AZ887" s="72"/>
      <c r="BA887" s="72"/>
      <c r="BB887" s="72"/>
      <c r="BC887" s="72"/>
      <c r="BD887" s="72"/>
      <c r="BE887" s="72"/>
      <c r="BF887" s="72"/>
      <c r="BG887" s="72"/>
      <c r="BH887" s="72"/>
      <c r="BI887" s="72"/>
      <c r="BJ887" s="72"/>
      <c r="BK887" s="72"/>
      <c r="BL887" s="72"/>
      <c r="BM887" s="72"/>
      <c r="BN887" s="72"/>
      <c r="BO887" s="72"/>
      <c r="BP887" s="72"/>
      <c r="BQ887" s="72"/>
      <c r="BR887" s="72"/>
      <c r="BS887" s="72"/>
      <c r="BT887" s="72"/>
      <c r="BU887" s="72"/>
      <c r="BV887" s="72"/>
      <c r="BW887" s="72"/>
    </row>
    <row r="888" ht="21.0" customHeight="1">
      <c r="A888" s="12"/>
      <c r="B888" s="80"/>
      <c r="C888" s="81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  <c r="AQ888" s="72"/>
      <c r="AR888" s="72"/>
      <c r="AS888" s="72"/>
      <c r="AT888" s="72"/>
      <c r="AU888" s="72"/>
      <c r="AV888" s="72"/>
      <c r="AW888" s="72"/>
      <c r="AX888" s="72"/>
      <c r="AY888" s="72"/>
      <c r="AZ888" s="72"/>
      <c r="BA888" s="72"/>
      <c r="BB888" s="72"/>
      <c r="BC888" s="72"/>
      <c r="BD888" s="72"/>
      <c r="BE888" s="72"/>
      <c r="BF888" s="72"/>
      <c r="BG888" s="72"/>
      <c r="BH888" s="72"/>
      <c r="BI888" s="72"/>
      <c r="BJ888" s="72"/>
      <c r="BK888" s="72"/>
      <c r="BL888" s="72"/>
      <c r="BM888" s="72"/>
      <c r="BN888" s="72"/>
      <c r="BO888" s="72"/>
      <c r="BP888" s="72"/>
      <c r="BQ888" s="72"/>
      <c r="BR888" s="72"/>
      <c r="BS888" s="72"/>
      <c r="BT888" s="72"/>
      <c r="BU888" s="72"/>
      <c r="BV888" s="72"/>
      <c r="BW888" s="72"/>
    </row>
    <row r="889" ht="21.0" customHeight="1">
      <c r="A889" s="12"/>
      <c r="B889" s="80"/>
      <c r="C889" s="81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  <c r="AQ889" s="72"/>
      <c r="AR889" s="72"/>
      <c r="AS889" s="72"/>
      <c r="AT889" s="72"/>
      <c r="AU889" s="72"/>
      <c r="AV889" s="72"/>
      <c r="AW889" s="72"/>
      <c r="AX889" s="72"/>
      <c r="AY889" s="72"/>
      <c r="AZ889" s="72"/>
      <c r="BA889" s="72"/>
      <c r="BB889" s="72"/>
      <c r="BC889" s="72"/>
      <c r="BD889" s="72"/>
      <c r="BE889" s="72"/>
      <c r="BF889" s="72"/>
      <c r="BG889" s="72"/>
      <c r="BH889" s="72"/>
      <c r="BI889" s="72"/>
      <c r="BJ889" s="72"/>
      <c r="BK889" s="72"/>
      <c r="BL889" s="72"/>
      <c r="BM889" s="72"/>
      <c r="BN889" s="72"/>
      <c r="BO889" s="72"/>
      <c r="BP889" s="72"/>
      <c r="BQ889" s="72"/>
      <c r="BR889" s="72"/>
      <c r="BS889" s="72"/>
      <c r="BT889" s="72"/>
      <c r="BU889" s="72"/>
      <c r="BV889" s="72"/>
      <c r="BW889" s="72"/>
    </row>
    <row r="890" ht="21.0" customHeight="1">
      <c r="A890" s="12"/>
      <c r="B890" s="80"/>
      <c r="C890" s="81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  <c r="AQ890" s="72"/>
      <c r="AR890" s="72"/>
      <c r="AS890" s="72"/>
      <c r="AT890" s="72"/>
      <c r="AU890" s="72"/>
      <c r="AV890" s="72"/>
      <c r="AW890" s="72"/>
      <c r="AX890" s="72"/>
      <c r="AY890" s="72"/>
      <c r="AZ890" s="72"/>
      <c r="BA890" s="72"/>
      <c r="BB890" s="72"/>
      <c r="BC890" s="72"/>
      <c r="BD890" s="72"/>
      <c r="BE890" s="72"/>
      <c r="BF890" s="72"/>
      <c r="BG890" s="72"/>
      <c r="BH890" s="72"/>
      <c r="BI890" s="72"/>
      <c r="BJ890" s="72"/>
      <c r="BK890" s="72"/>
      <c r="BL890" s="72"/>
      <c r="BM890" s="72"/>
      <c r="BN890" s="72"/>
      <c r="BO890" s="72"/>
      <c r="BP890" s="72"/>
      <c r="BQ890" s="72"/>
      <c r="BR890" s="72"/>
      <c r="BS890" s="72"/>
      <c r="BT890" s="72"/>
      <c r="BU890" s="72"/>
      <c r="BV890" s="72"/>
      <c r="BW890" s="72"/>
    </row>
    <row r="891" ht="21.0" customHeight="1">
      <c r="A891" s="12"/>
      <c r="B891" s="80"/>
      <c r="C891" s="81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  <c r="AQ891" s="72"/>
      <c r="AR891" s="72"/>
      <c r="AS891" s="72"/>
      <c r="AT891" s="72"/>
      <c r="AU891" s="72"/>
      <c r="AV891" s="72"/>
      <c r="AW891" s="72"/>
      <c r="AX891" s="72"/>
      <c r="AY891" s="72"/>
      <c r="AZ891" s="72"/>
      <c r="BA891" s="72"/>
      <c r="BB891" s="72"/>
      <c r="BC891" s="72"/>
      <c r="BD891" s="72"/>
      <c r="BE891" s="72"/>
      <c r="BF891" s="72"/>
      <c r="BG891" s="72"/>
      <c r="BH891" s="72"/>
      <c r="BI891" s="72"/>
      <c r="BJ891" s="72"/>
      <c r="BK891" s="72"/>
      <c r="BL891" s="72"/>
      <c r="BM891" s="72"/>
      <c r="BN891" s="72"/>
      <c r="BO891" s="72"/>
      <c r="BP891" s="72"/>
      <c r="BQ891" s="72"/>
      <c r="BR891" s="72"/>
      <c r="BS891" s="72"/>
      <c r="BT891" s="72"/>
      <c r="BU891" s="72"/>
      <c r="BV891" s="72"/>
      <c r="BW891" s="72"/>
    </row>
    <row r="892" ht="21.0" customHeight="1">
      <c r="A892" s="12"/>
      <c r="B892" s="80"/>
      <c r="C892" s="81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  <c r="AQ892" s="72"/>
      <c r="AR892" s="72"/>
      <c r="AS892" s="72"/>
      <c r="AT892" s="72"/>
      <c r="AU892" s="72"/>
      <c r="AV892" s="72"/>
      <c r="AW892" s="72"/>
      <c r="AX892" s="72"/>
      <c r="AY892" s="72"/>
      <c r="AZ892" s="72"/>
      <c r="BA892" s="72"/>
      <c r="BB892" s="72"/>
      <c r="BC892" s="72"/>
      <c r="BD892" s="72"/>
      <c r="BE892" s="72"/>
      <c r="BF892" s="72"/>
      <c r="BG892" s="72"/>
      <c r="BH892" s="72"/>
      <c r="BI892" s="72"/>
      <c r="BJ892" s="72"/>
      <c r="BK892" s="72"/>
      <c r="BL892" s="72"/>
      <c r="BM892" s="72"/>
      <c r="BN892" s="72"/>
      <c r="BO892" s="72"/>
      <c r="BP892" s="72"/>
      <c r="BQ892" s="72"/>
      <c r="BR892" s="72"/>
      <c r="BS892" s="72"/>
      <c r="BT892" s="72"/>
      <c r="BU892" s="72"/>
      <c r="BV892" s="72"/>
      <c r="BW892" s="72"/>
    </row>
    <row r="893" ht="21.0" customHeight="1">
      <c r="A893" s="12"/>
      <c r="B893" s="80"/>
      <c r="C893" s="81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  <c r="AQ893" s="72"/>
      <c r="AR893" s="72"/>
      <c r="AS893" s="72"/>
      <c r="AT893" s="72"/>
      <c r="AU893" s="72"/>
      <c r="AV893" s="72"/>
      <c r="AW893" s="72"/>
      <c r="AX893" s="72"/>
      <c r="AY893" s="72"/>
      <c r="AZ893" s="72"/>
      <c r="BA893" s="72"/>
      <c r="BB893" s="72"/>
      <c r="BC893" s="72"/>
      <c r="BD893" s="72"/>
      <c r="BE893" s="72"/>
      <c r="BF893" s="72"/>
      <c r="BG893" s="72"/>
      <c r="BH893" s="72"/>
      <c r="BI893" s="72"/>
      <c r="BJ893" s="72"/>
      <c r="BK893" s="72"/>
      <c r="BL893" s="72"/>
      <c r="BM893" s="72"/>
      <c r="BN893" s="72"/>
      <c r="BO893" s="72"/>
      <c r="BP893" s="72"/>
      <c r="BQ893" s="72"/>
      <c r="BR893" s="72"/>
      <c r="BS893" s="72"/>
      <c r="BT893" s="72"/>
      <c r="BU893" s="72"/>
      <c r="BV893" s="72"/>
      <c r="BW893" s="72"/>
    </row>
    <row r="894" ht="21.0" customHeight="1">
      <c r="A894" s="12"/>
      <c r="B894" s="80"/>
      <c r="C894" s="81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  <c r="AQ894" s="72"/>
      <c r="AR894" s="72"/>
      <c r="AS894" s="72"/>
      <c r="AT894" s="72"/>
      <c r="AU894" s="72"/>
      <c r="AV894" s="72"/>
      <c r="AW894" s="72"/>
      <c r="AX894" s="72"/>
      <c r="AY894" s="72"/>
      <c r="AZ894" s="72"/>
      <c r="BA894" s="72"/>
      <c r="BB894" s="72"/>
      <c r="BC894" s="72"/>
      <c r="BD894" s="72"/>
      <c r="BE894" s="72"/>
      <c r="BF894" s="72"/>
      <c r="BG894" s="72"/>
      <c r="BH894" s="72"/>
      <c r="BI894" s="72"/>
      <c r="BJ894" s="72"/>
      <c r="BK894" s="72"/>
      <c r="BL894" s="72"/>
      <c r="BM894" s="72"/>
      <c r="BN894" s="72"/>
      <c r="BO894" s="72"/>
      <c r="BP894" s="72"/>
      <c r="BQ894" s="72"/>
      <c r="BR894" s="72"/>
      <c r="BS894" s="72"/>
      <c r="BT894" s="72"/>
      <c r="BU894" s="72"/>
      <c r="BV894" s="72"/>
      <c r="BW894" s="72"/>
    </row>
    <row r="895" ht="21.0" customHeight="1">
      <c r="A895" s="12"/>
      <c r="B895" s="80"/>
      <c r="C895" s="81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  <c r="AQ895" s="72"/>
      <c r="AR895" s="72"/>
      <c r="AS895" s="72"/>
      <c r="AT895" s="72"/>
      <c r="AU895" s="72"/>
      <c r="AV895" s="72"/>
      <c r="AW895" s="72"/>
      <c r="AX895" s="72"/>
      <c r="AY895" s="72"/>
      <c r="AZ895" s="72"/>
      <c r="BA895" s="72"/>
      <c r="BB895" s="72"/>
      <c r="BC895" s="72"/>
      <c r="BD895" s="72"/>
      <c r="BE895" s="72"/>
      <c r="BF895" s="72"/>
      <c r="BG895" s="72"/>
      <c r="BH895" s="72"/>
      <c r="BI895" s="72"/>
      <c r="BJ895" s="72"/>
      <c r="BK895" s="72"/>
      <c r="BL895" s="72"/>
      <c r="BM895" s="72"/>
      <c r="BN895" s="72"/>
      <c r="BO895" s="72"/>
      <c r="BP895" s="72"/>
      <c r="BQ895" s="72"/>
      <c r="BR895" s="72"/>
      <c r="BS895" s="72"/>
      <c r="BT895" s="72"/>
      <c r="BU895" s="72"/>
      <c r="BV895" s="72"/>
      <c r="BW895" s="72"/>
    </row>
    <row r="896" ht="21.0" customHeight="1">
      <c r="A896" s="12"/>
      <c r="B896" s="80"/>
      <c r="C896" s="81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  <c r="AQ896" s="72"/>
      <c r="AR896" s="72"/>
      <c r="AS896" s="72"/>
      <c r="AT896" s="72"/>
      <c r="AU896" s="72"/>
      <c r="AV896" s="72"/>
      <c r="AW896" s="72"/>
      <c r="AX896" s="72"/>
      <c r="AY896" s="72"/>
      <c r="AZ896" s="72"/>
      <c r="BA896" s="72"/>
      <c r="BB896" s="72"/>
      <c r="BC896" s="72"/>
      <c r="BD896" s="72"/>
      <c r="BE896" s="72"/>
      <c r="BF896" s="72"/>
      <c r="BG896" s="72"/>
      <c r="BH896" s="72"/>
      <c r="BI896" s="72"/>
      <c r="BJ896" s="72"/>
      <c r="BK896" s="72"/>
      <c r="BL896" s="72"/>
      <c r="BM896" s="72"/>
      <c r="BN896" s="72"/>
      <c r="BO896" s="72"/>
      <c r="BP896" s="72"/>
      <c r="BQ896" s="72"/>
      <c r="BR896" s="72"/>
      <c r="BS896" s="72"/>
      <c r="BT896" s="72"/>
      <c r="BU896" s="72"/>
      <c r="BV896" s="72"/>
      <c r="BW896" s="72"/>
    </row>
    <row r="897" ht="21.0" customHeight="1">
      <c r="A897" s="12"/>
      <c r="B897" s="80"/>
      <c r="C897" s="81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  <c r="AQ897" s="72"/>
      <c r="AR897" s="72"/>
      <c r="AS897" s="72"/>
      <c r="AT897" s="72"/>
      <c r="AU897" s="72"/>
      <c r="AV897" s="72"/>
      <c r="AW897" s="72"/>
      <c r="AX897" s="72"/>
      <c r="AY897" s="72"/>
      <c r="AZ897" s="72"/>
      <c r="BA897" s="72"/>
      <c r="BB897" s="72"/>
      <c r="BC897" s="72"/>
      <c r="BD897" s="72"/>
      <c r="BE897" s="72"/>
      <c r="BF897" s="72"/>
      <c r="BG897" s="72"/>
      <c r="BH897" s="72"/>
      <c r="BI897" s="72"/>
      <c r="BJ897" s="72"/>
      <c r="BK897" s="72"/>
      <c r="BL897" s="72"/>
      <c r="BM897" s="72"/>
      <c r="BN897" s="72"/>
      <c r="BO897" s="72"/>
      <c r="BP897" s="72"/>
      <c r="BQ897" s="72"/>
      <c r="BR897" s="72"/>
      <c r="BS897" s="72"/>
      <c r="BT897" s="72"/>
      <c r="BU897" s="72"/>
      <c r="BV897" s="72"/>
      <c r="BW897" s="72"/>
    </row>
    <row r="898" ht="21.0" customHeight="1">
      <c r="A898" s="12"/>
      <c r="B898" s="80"/>
      <c r="C898" s="81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  <c r="AQ898" s="72"/>
      <c r="AR898" s="72"/>
      <c r="AS898" s="72"/>
      <c r="AT898" s="72"/>
      <c r="AU898" s="72"/>
      <c r="AV898" s="72"/>
      <c r="AW898" s="72"/>
      <c r="AX898" s="72"/>
      <c r="AY898" s="72"/>
      <c r="AZ898" s="72"/>
      <c r="BA898" s="72"/>
      <c r="BB898" s="72"/>
      <c r="BC898" s="72"/>
      <c r="BD898" s="72"/>
      <c r="BE898" s="72"/>
      <c r="BF898" s="72"/>
      <c r="BG898" s="72"/>
      <c r="BH898" s="72"/>
      <c r="BI898" s="72"/>
      <c r="BJ898" s="72"/>
      <c r="BK898" s="72"/>
      <c r="BL898" s="72"/>
      <c r="BM898" s="72"/>
      <c r="BN898" s="72"/>
      <c r="BO898" s="72"/>
      <c r="BP898" s="72"/>
      <c r="BQ898" s="72"/>
      <c r="BR898" s="72"/>
      <c r="BS898" s="72"/>
      <c r="BT898" s="72"/>
      <c r="BU898" s="72"/>
      <c r="BV898" s="72"/>
      <c r="BW898" s="72"/>
    </row>
    <row r="899" ht="21.0" customHeight="1">
      <c r="A899" s="12"/>
      <c r="B899" s="80"/>
      <c r="C899" s="81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  <c r="AQ899" s="72"/>
      <c r="AR899" s="72"/>
      <c r="AS899" s="72"/>
      <c r="AT899" s="72"/>
      <c r="AU899" s="72"/>
      <c r="AV899" s="72"/>
      <c r="AW899" s="72"/>
      <c r="AX899" s="72"/>
      <c r="AY899" s="72"/>
      <c r="AZ899" s="72"/>
      <c r="BA899" s="72"/>
      <c r="BB899" s="72"/>
      <c r="BC899" s="72"/>
      <c r="BD899" s="72"/>
      <c r="BE899" s="72"/>
      <c r="BF899" s="72"/>
      <c r="BG899" s="72"/>
      <c r="BH899" s="72"/>
      <c r="BI899" s="72"/>
      <c r="BJ899" s="72"/>
      <c r="BK899" s="72"/>
      <c r="BL899" s="72"/>
      <c r="BM899" s="72"/>
      <c r="BN899" s="72"/>
      <c r="BO899" s="72"/>
      <c r="BP899" s="72"/>
      <c r="BQ899" s="72"/>
      <c r="BR899" s="72"/>
      <c r="BS899" s="72"/>
      <c r="BT899" s="72"/>
      <c r="BU899" s="72"/>
      <c r="BV899" s="72"/>
      <c r="BW899" s="72"/>
    </row>
    <row r="900" ht="21.0" customHeight="1">
      <c r="A900" s="12"/>
      <c r="B900" s="80"/>
      <c r="C900" s="81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  <c r="AQ900" s="72"/>
      <c r="AR900" s="72"/>
      <c r="AS900" s="72"/>
      <c r="AT900" s="72"/>
      <c r="AU900" s="72"/>
      <c r="AV900" s="72"/>
      <c r="AW900" s="72"/>
      <c r="AX900" s="72"/>
      <c r="AY900" s="72"/>
      <c r="AZ900" s="72"/>
      <c r="BA900" s="72"/>
      <c r="BB900" s="72"/>
      <c r="BC900" s="72"/>
      <c r="BD900" s="72"/>
      <c r="BE900" s="72"/>
      <c r="BF900" s="72"/>
      <c r="BG900" s="72"/>
      <c r="BH900" s="72"/>
      <c r="BI900" s="72"/>
      <c r="BJ900" s="72"/>
      <c r="BK900" s="72"/>
      <c r="BL900" s="72"/>
      <c r="BM900" s="72"/>
      <c r="BN900" s="72"/>
      <c r="BO900" s="72"/>
      <c r="BP900" s="72"/>
      <c r="BQ900" s="72"/>
      <c r="BR900" s="72"/>
      <c r="BS900" s="72"/>
      <c r="BT900" s="72"/>
      <c r="BU900" s="72"/>
      <c r="BV900" s="72"/>
      <c r="BW900" s="72"/>
    </row>
    <row r="901" ht="21.0" customHeight="1">
      <c r="A901" s="12"/>
      <c r="B901" s="72"/>
      <c r="C901" s="83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  <c r="AQ901" s="72"/>
      <c r="AR901" s="72"/>
      <c r="AS901" s="72"/>
      <c r="AT901" s="72"/>
      <c r="AU901" s="72"/>
      <c r="AV901" s="72"/>
      <c r="AW901" s="72"/>
      <c r="AX901" s="72"/>
      <c r="AY901" s="72"/>
      <c r="AZ901" s="72"/>
      <c r="BA901" s="72"/>
      <c r="BB901" s="72"/>
      <c r="BC901" s="72"/>
      <c r="BD901" s="72"/>
      <c r="BE901" s="72"/>
      <c r="BF901" s="72"/>
      <c r="BG901" s="72"/>
      <c r="BH901" s="72"/>
      <c r="BI901" s="72"/>
      <c r="BJ901" s="72"/>
      <c r="BK901" s="72"/>
      <c r="BL901" s="72"/>
      <c r="BM901" s="72"/>
      <c r="BN901" s="72"/>
      <c r="BO901" s="72"/>
      <c r="BP901" s="72"/>
      <c r="BQ901" s="72"/>
      <c r="BR901" s="72"/>
      <c r="BS901" s="72"/>
      <c r="BT901" s="72"/>
      <c r="BU901" s="72"/>
      <c r="BV901" s="72"/>
      <c r="BW901" s="72"/>
    </row>
    <row r="902" ht="21.0" customHeight="1">
      <c r="A902" s="12"/>
      <c r="B902" s="84"/>
      <c r="C902" s="83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  <c r="AQ902" s="72"/>
      <c r="AR902" s="72"/>
      <c r="AS902" s="72"/>
      <c r="AT902" s="72"/>
      <c r="AU902" s="72"/>
      <c r="AV902" s="72"/>
      <c r="AW902" s="72"/>
      <c r="AX902" s="72"/>
      <c r="AY902" s="72"/>
      <c r="AZ902" s="72"/>
      <c r="BA902" s="72"/>
      <c r="BB902" s="72"/>
      <c r="BC902" s="72"/>
      <c r="BD902" s="72"/>
      <c r="BE902" s="72"/>
      <c r="BF902" s="72"/>
      <c r="BG902" s="72"/>
      <c r="BH902" s="72"/>
      <c r="BI902" s="72"/>
      <c r="BJ902" s="72"/>
      <c r="BK902" s="72"/>
      <c r="BL902" s="72"/>
      <c r="BM902" s="72"/>
      <c r="BN902" s="72"/>
      <c r="BO902" s="72"/>
      <c r="BP902" s="72"/>
      <c r="BQ902" s="72"/>
      <c r="BR902" s="72"/>
      <c r="BS902" s="72"/>
      <c r="BT902" s="72"/>
      <c r="BU902" s="72"/>
      <c r="BV902" s="72"/>
      <c r="BW902" s="72"/>
    </row>
    <row r="903" ht="21.0" customHeight="1">
      <c r="A903" s="12"/>
      <c r="B903" s="84"/>
      <c r="C903" s="83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  <c r="AQ903" s="72"/>
      <c r="AR903" s="72"/>
      <c r="AS903" s="72"/>
      <c r="AT903" s="72"/>
      <c r="AU903" s="72"/>
      <c r="AV903" s="72"/>
      <c r="AW903" s="72"/>
      <c r="AX903" s="72"/>
      <c r="AY903" s="72"/>
      <c r="AZ903" s="72"/>
      <c r="BA903" s="72"/>
      <c r="BB903" s="72"/>
      <c r="BC903" s="72"/>
      <c r="BD903" s="72"/>
      <c r="BE903" s="72"/>
      <c r="BF903" s="72"/>
      <c r="BG903" s="72"/>
      <c r="BH903" s="72"/>
      <c r="BI903" s="72"/>
      <c r="BJ903" s="72"/>
      <c r="BK903" s="72"/>
      <c r="BL903" s="72"/>
      <c r="BM903" s="72"/>
      <c r="BN903" s="72"/>
      <c r="BO903" s="72"/>
      <c r="BP903" s="72"/>
      <c r="BQ903" s="72"/>
      <c r="BR903" s="72"/>
      <c r="BS903" s="72"/>
      <c r="BT903" s="72"/>
      <c r="BU903" s="72"/>
      <c r="BV903" s="72"/>
      <c r="BW903" s="72"/>
    </row>
    <row r="904" ht="21.0" customHeight="1">
      <c r="A904" s="12"/>
      <c r="B904" s="84"/>
      <c r="C904" s="83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  <c r="AQ904" s="72"/>
      <c r="AR904" s="72"/>
      <c r="AS904" s="72"/>
      <c r="AT904" s="72"/>
      <c r="AU904" s="72"/>
      <c r="AV904" s="72"/>
      <c r="AW904" s="72"/>
      <c r="AX904" s="72"/>
      <c r="AY904" s="72"/>
      <c r="AZ904" s="72"/>
      <c r="BA904" s="72"/>
      <c r="BB904" s="72"/>
      <c r="BC904" s="72"/>
      <c r="BD904" s="72"/>
      <c r="BE904" s="72"/>
      <c r="BF904" s="72"/>
      <c r="BG904" s="72"/>
      <c r="BH904" s="72"/>
      <c r="BI904" s="72"/>
      <c r="BJ904" s="72"/>
      <c r="BK904" s="72"/>
      <c r="BL904" s="72"/>
      <c r="BM904" s="72"/>
      <c r="BN904" s="72"/>
      <c r="BO904" s="72"/>
      <c r="BP904" s="72"/>
      <c r="BQ904" s="72"/>
      <c r="BR904" s="72"/>
      <c r="BS904" s="72"/>
      <c r="BT904" s="72"/>
      <c r="BU904" s="72"/>
      <c r="BV904" s="72"/>
      <c r="BW904" s="72"/>
    </row>
    <row r="905" ht="21.0" customHeight="1">
      <c r="A905" s="12"/>
      <c r="B905" s="84"/>
      <c r="C905" s="83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  <c r="AQ905" s="72"/>
      <c r="AR905" s="72"/>
      <c r="AS905" s="72"/>
      <c r="AT905" s="72"/>
      <c r="AU905" s="72"/>
      <c r="AV905" s="72"/>
      <c r="AW905" s="72"/>
      <c r="AX905" s="72"/>
      <c r="AY905" s="72"/>
      <c r="AZ905" s="72"/>
      <c r="BA905" s="72"/>
      <c r="BB905" s="72"/>
      <c r="BC905" s="72"/>
      <c r="BD905" s="72"/>
      <c r="BE905" s="72"/>
      <c r="BF905" s="72"/>
      <c r="BG905" s="72"/>
      <c r="BH905" s="72"/>
      <c r="BI905" s="72"/>
      <c r="BJ905" s="72"/>
      <c r="BK905" s="72"/>
      <c r="BL905" s="72"/>
      <c r="BM905" s="72"/>
      <c r="BN905" s="72"/>
      <c r="BO905" s="72"/>
      <c r="BP905" s="72"/>
      <c r="BQ905" s="72"/>
      <c r="BR905" s="72"/>
      <c r="BS905" s="72"/>
      <c r="BT905" s="72"/>
      <c r="BU905" s="72"/>
      <c r="BV905" s="72"/>
      <c r="BW905" s="72"/>
    </row>
    <row r="906" ht="21.0" customHeight="1">
      <c r="A906" s="12"/>
      <c r="B906" s="84"/>
      <c r="C906" s="83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  <c r="AQ906" s="72"/>
      <c r="AR906" s="72"/>
      <c r="AS906" s="72"/>
      <c r="AT906" s="72"/>
      <c r="AU906" s="72"/>
      <c r="AV906" s="72"/>
      <c r="AW906" s="72"/>
      <c r="AX906" s="72"/>
      <c r="AY906" s="72"/>
      <c r="AZ906" s="72"/>
      <c r="BA906" s="72"/>
      <c r="BB906" s="72"/>
      <c r="BC906" s="72"/>
      <c r="BD906" s="72"/>
      <c r="BE906" s="72"/>
      <c r="BF906" s="72"/>
      <c r="BG906" s="72"/>
      <c r="BH906" s="72"/>
      <c r="BI906" s="72"/>
      <c r="BJ906" s="72"/>
      <c r="BK906" s="72"/>
      <c r="BL906" s="72"/>
      <c r="BM906" s="72"/>
      <c r="BN906" s="72"/>
      <c r="BO906" s="72"/>
      <c r="BP906" s="72"/>
      <c r="BQ906" s="72"/>
      <c r="BR906" s="72"/>
      <c r="BS906" s="72"/>
      <c r="BT906" s="72"/>
      <c r="BU906" s="72"/>
      <c r="BV906" s="72"/>
      <c r="BW906" s="72"/>
    </row>
    <row r="907" ht="21.0" customHeight="1">
      <c r="A907" s="12"/>
      <c r="B907" s="84"/>
      <c r="C907" s="83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  <c r="AQ907" s="72"/>
      <c r="AR907" s="72"/>
      <c r="AS907" s="72"/>
      <c r="AT907" s="72"/>
      <c r="AU907" s="72"/>
      <c r="AV907" s="72"/>
      <c r="AW907" s="72"/>
      <c r="AX907" s="72"/>
      <c r="AY907" s="72"/>
      <c r="AZ907" s="72"/>
      <c r="BA907" s="72"/>
      <c r="BB907" s="72"/>
      <c r="BC907" s="72"/>
      <c r="BD907" s="72"/>
      <c r="BE907" s="72"/>
      <c r="BF907" s="72"/>
      <c r="BG907" s="72"/>
      <c r="BH907" s="72"/>
      <c r="BI907" s="72"/>
      <c r="BJ907" s="72"/>
      <c r="BK907" s="72"/>
      <c r="BL907" s="72"/>
      <c r="BM907" s="72"/>
      <c r="BN907" s="72"/>
      <c r="BO907" s="72"/>
      <c r="BP907" s="72"/>
      <c r="BQ907" s="72"/>
      <c r="BR907" s="72"/>
      <c r="BS907" s="72"/>
      <c r="BT907" s="72"/>
      <c r="BU907" s="72"/>
      <c r="BV907" s="72"/>
      <c r="BW907" s="72"/>
    </row>
    <row r="908" ht="21.0" customHeight="1">
      <c r="A908" s="12"/>
      <c r="B908" s="84"/>
      <c r="C908" s="83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  <c r="AQ908" s="72"/>
      <c r="AR908" s="72"/>
      <c r="AS908" s="72"/>
      <c r="AT908" s="72"/>
      <c r="AU908" s="72"/>
      <c r="AV908" s="72"/>
      <c r="AW908" s="72"/>
      <c r="AX908" s="72"/>
      <c r="AY908" s="72"/>
      <c r="AZ908" s="72"/>
      <c r="BA908" s="72"/>
      <c r="BB908" s="72"/>
      <c r="BC908" s="72"/>
      <c r="BD908" s="72"/>
      <c r="BE908" s="72"/>
      <c r="BF908" s="72"/>
      <c r="BG908" s="72"/>
      <c r="BH908" s="72"/>
      <c r="BI908" s="72"/>
      <c r="BJ908" s="72"/>
      <c r="BK908" s="72"/>
      <c r="BL908" s="72"/>
      <c r="BM908" s="72"/>
      <c r="BN908" s="72"/>
      <c r="BO908" s="72"/>
      <c r="BP908" s="72"/>
      <c r="BQ908" s="72"/>
      <c r="BR908" s="72"/>
      <c r="BS908" s="72"/>
      <c r="BT908" s="72"/>
      <c r="BU908" s="72"/>
      <c r="BV908" s="72"/>
      <c r="BW908" s="72"/>
    </row>
    <row r="909" ht="21.0" customHeight="1">
      <c r="A909" s="12"/>
      <c r="B909" s="84"/>
      <c r="C909" s="83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  <c r="AQ909" s="72"/>
      <c r="AR909" s="72"/>
      <c r="AS909" s="72"/>
      <c r="AT909" s="72"/>
      <c r="AU909" s="72"/>
      <c r="AV909" s="72"/>
      <c r="AW909" s="72"/>
      <c r="AX909" s="72"/>
      <c r="AY909" s="72"/>
      <c r="AZ909" s="72"/>
      <c r="BA909" s="72"/>
      <c r="BB909" s="72"/>
      <c r="BC909" s="72"/>
      <c r="BD909" s="72"/>
      <c r="BE909" s="72"/>
      <c r="BF909" s="72"/>
      <c r="BG909" s="72"/>
      <c r="BH909" s="72"/>
      <c r="BI909" s="72"/>
      <c r="BJ909" s="72"/>
      <c r="BK909" s="72"/>
      <c r="BL909" s="72"/>
      <c r="BM909" s="72"/>
      <c r="BN909" s="72"/>
      <c r="BO909" s="72"/>
      <c r="BP909" s="72"/>
      <c r="BQ909" s="72"/>
      <c r="BR909" s="72"/>
      <c r="BS909" s="72"/>
      <c r="BT909" s="72"/>
      <c r="BU909" s="72"/>
      <c r="BV909" s="72"/>
      <c r="BW909" s="72"/>
    </row>
    <row r="910" ht="21.0" customHeight="1">
      <c r="A910" s="12"/>
      <c r="B910" s="84"/>
      <c r="C910" s="83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  <c r="AQ910" s="72"/>
      <c r="AR910" s="72"/>
      <c r="AS910" s="72"/>
      <c r="AT910" s="72"/>
      <c r="AU910" s="72"/>
      <c r="AV910" s="72"/>
      <c r="AW910" s="72"/>
      <c r="AX910" s="72"/>
      <c r="AY910" s="72"/>
      <c r="AZ910" s="72"/>
      <c r="BA910" s="72"/>
      <c r="BB910" s="72"/>
      <c r="BC910" s="72"/>
      <c r="BD910" s="72"/>
      <c r="BE910" s="72"/>
      <c r="BF910" s="72"/>
      <c r="BG910" s="72"/>
      <c r="BH910" s="72"/>
      <c r="BI910" s="72"/>
      <c r="BJ910" s="72"/>
      <c r="BK910" s="72"/>
      <c r="BL910" s="72"/>
      <c r="BM910" s="72"/>
      <c r="BN910" s="72"/>
      <c r="BO910" s="72"/>
      <c r="BP910" s="72"/>
      <c r="BQ910" s="72"/>
      <c r="BR910" s="72"/>
      <c r="BS910" s="72"/>
      <c r="BT910" s="72"/>
      <c r="BU910" s="72"/>
      <c r="BV910" s="72"/>
      <c r="BW910" s="72"/>
    </row>
    <row r="911" ht="21.0" customHeight="1">
      <c r="A911" s="12"/>
      <c r="B911" s="84"/>
      <c r="C911" s="83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  <c r="AQ911" s="72"/>
      <c r="AR911" s="72"/>
      <c r="AS911" s="72"/>
      <c r="AT911" s="72"/>
      <c r="AU911" s="72"/>
      <c r="AV911" s="72"/>
      <c r="AW911" s="72"/>
      <c r="AX911" s="72"/>
      <c r="AY911" s="72"/>
      <c r="AZ911" s="72"/>
      <c r="BA911" s="72"/>
      <c r="BB911" s="72"/>
      <c r="BC911" s="72"/>
      <c r="BD911" s="72"/>
      <c r="BE911" s="72"/>
      <c r="BF911" s="72"/>
      <c r="BG911" s="72"/>
      <c r="BH911" s="72"/>
      <c r="BI911" s="72"/>
      <c r="BJ911" s="72"/>
      <c r="BK911" s="72"/>
      <c r="BL911" s="72"/>
      <c r="BM911" s="72"/>
      <c r="BN911" s="72"/>
      <c r="BO911" s="72"/>
      <c r="BP911" s="72"/>
      <c r="BQ911" s="72"/>
      <c r="BR911" s="72"/>
      <c r="BS911" s="72"/>
      <c r="BT911" s="72"/>
      <c r="BU911" s="72"/>
      <c r="BV911" s="72"/>
      <c r="BW911" s="72"/>
    </row>
    <row r="912" ht="21.0" customHeight="1">
      <c r="A912" s="12"/>
      <c r="B912" s="84"/>
      <c r="C912" s="83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  <c r="AQ912" s="72"/>
      <c r="AR912" s="72"/>
      <c r="AS912" s="72"/>
      <c r="AT912" s="72"/>
      <c r="AU912" s="72"/>
      <c r="AV912" s="72"/>
      <c r="AW912" s="72"/>
      <c r="AX912" s="72"/>
      <c r="AY912" s="72"/>
      <c r="AZ912" s="72"/>
      <c r="BA912" s="72"/>
      <c r="BB912" s="72"/>
      <c r="BC912" s="72"/>
      <c r="BD912" s="72"/>
      <c r="BE912" s="72"/>
      <c r="BF912" s="72"/>
      <c r="BG912" s="72"/>
      <c r="BH912" s="72"/>
      <c r="BI912" s="72"/>
      <c r="BJ912" s="72"/>
      <c r="BK912" s="72"/>
      <c r="BL912" s="72"/>
      <c r="BM912" s="72"/>
      <c r="BN912" s="72"/>
      <c r="BO912" s="72"/>
      <c r="BP912" s="72"/>
      <c r="BQ912" s="72"/>
      <c r="BR912" s="72"/>
      <c r="BS912" s="72"/>
      <c r="BT912" s="72"/>
      <c r="BU912" s="72"/>
      <c r="BV912" s="72"/>
      <c r="BW912" s="72"/>
    </row>
    <row r="913" ht="21.0" customHeight="1">
      <c r="A913" s="12"/>
      <c r="B913" s="84"/>
      <c r="C913" s="83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  <c r="AQ913" s="72"/>
      <c r="AR913" s="72"/>
      <c r="AS913" s="72"/>
      <c r="AT913" s="72"/>
      <c r="AU913" s="72"/>
      <c r="AV913" s="72"/>
      <c r="AW913" s="72"/>
      <c r="AX913" s="72"/>
      <c r="AY913" s="72"/>
      <c r="AZ913" s="72"/>
      <c r="BA913" s="72"/>
      <c r="BB913" s="72"/>
      <c r="BC913" s="72"/>
      <c r="BD913" s="72"/>
      <c r="BE913" s="72"/>
      <c r="BF913" s="72"/>
      <c r="BG913" s="72"/>
      <c r="BH913" s="72"/>
      <c r="BI913" s="72"/>
      <c r="BJ913" s="72"/>
      <c r="BK913" s="72"/>
      <c r="BL913" s="72"/>
      <c r="BM913" s="72"/>
      <c r="BN913" s="72"/>
      <c r="BO913" s="72"/>
      <c r="BP913" s="72"/>
      <c r="BQ913" s="72"/>
      <c r="BR913" s="72"/>
      <c r="BS913" s="72"/>
      <c r="BT913" s="72"/>
      <c r="BU913" s="72"/>
      <c r="BV913" s="72"/>
      <c r="BW913" s="72"/>
    </row>
    <row r="914" ht="21.0" customHeight="1">
      <c r="A914" s="12"/>
      <c r="B914" s="84"/>
      <c r="C914" s="83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  <c r="AQ914" s="72"/>
      <c r="AR914" s="72"/>
      <c r="AS914" s="72"/>
      <c r="AT914" s="72"/>
      <c r="AU914" s="72"/>
      <c r="AV914" s="72"/>
      <c r="AW914" s="72"/>
      <c r="AX914" s="72"/>
      <c r="AY914" s="72"/>
      <c r="AZ914" s="72"/>
      <c r="BA914" s="72"/>
      <c r="BB914" s="72"/>
      <c r="BC914" s="72"/>
      <c r="BD914" s="72"/>
      <c r="BE914" s="72"/>
      <c r="BF914" s="72"/>
      <c r="BG914" s="72"/>
      <c r="BH914" s="72"/>
      <c r="BI914" s="72"/>
      <c r="BJ914" s="72"/>
      <c r="BK914" s="72"/>
      <c r="BL914" s="72"/>
      <c r="BM914" s="72"/>
      <c r="BN914" s="72"/>
      <c r="BO914" s="72"/>
      <c r="BP914" s="72"/>
      <c r="BQ914" s="72"/>
      <c r="BR914" s="72"/>
      <c r="BS914" s="72"/>
      <c r="BT914" s="72"/>
      <c r="BU914" s="72"/>
      <c r="BV914" s="72"/>
      <c r="BW914" s="72"/>
    </row>
    <row r="915" ht="21.0" customHeight="1">
      <c r="A915" s="12"/>
      <c r="B915" s="84"/>
      <c r="C915" s="83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  <c r="AQ915" s="72"/>
      <c r="AR915" s="72"/>
      <c r="AS915" s="72"/>
      <c r="AT915" s="72"/>
      <c r="AU915" s="72"/>
      <c r="AV915" s="72"/>
      <c r="AW915" s="72"/>
      <c r="AX915" s="72"/>
      <c r="AY915" s="72"/>
      <c r="AZ915" s="72"/>
      <c r="BA915" s="72"/>
      <c r="BB915" s="72"/>
      <c r="BC915" s="72"/>
      <c r="BD915" s="72"/>
      <c r="BE915" s="72"/>
      <c r="BF915" s="72"/>
      <c r="BG915" s="72"/>
      <c r="BH915" s="72"/>
      <c r="BI915" s="72"/>
      <c r="BJ915" s="72"/>
      <c r="BK915" s="72"/>
      <c r="BL915" s="72"/>
      <c r="BM915" s="72"/>
      <c r="BN915" s="72"/>
      <c r="BO915" s="72"/>
      <c r="BP915" s="72"/>
      <c r="BQ915" s="72"/>
      <c r="BR915" s="72"/>
      <c r="BS915" s="72"/>
      <c r="BT915" s="72"/>
      <c r="BU915" s="72"/>
      <c r="BV915" s="72"/>
      <c r="BW915" s="72"/>
    </row>
    <row r="916" ht="21.0" customHeight="1">
      <c r="A916" s="12"/>
      <c r="B916" s="84"/>
      <c r="C916" s="83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  <c r="AQ916" s="72"/>
      <c r="AR916" s="72"/>
      <c r="AS916" s="72"/>
      <c r="AT916" s="72"/>
      <c r="AU916" s="72"/>
      <c r="AV916" s="72"/>
      <c r="AW916" s="72"/>
      <c r="AX916" s="72"/>
      <c r="AY916" s="72"/>
      <c r="AZ916" s="72"/>
      <c r="BA916" s="72"/>
      <c r="BB916" s="72"/>
      <c r="BC916" s="72"/>
      <c r="BD916" s="72"/>
      <c r="BE916" s="72"/>
      <c r="BF916" s="72"/>
      <c r="BG916" s="72"/>
      <c r="BH916" s="72"/>
      <c r="BI916" s="72"/>
      <c r="BJ916" s="72"/>
      <c r="BK916" s="72"/>
      <c r="BL916" s="72"/>
      <c r="BM916" s="72"/>
      <c r="BN916" s="72"/>
      <c r="BO916" s="72"/>
      <c r="BP916" s="72"/>
      <c r="BQ916" s="72"/>
      <c r="BR916" s="72"/>
      <c r="BS916" s="72"/>
      <c r="BT916" s="72"/>
      <c r="BU916" s="72"/>
      <c r="BV916" s="72"/>
      <c r="BW916" s="72"/>
    </row>
    <row r="917" ht="21.0" customHeight="1">
      <c r="A917" s="12"/>
      <c r="B917" s="84"/>
      <c r="C917" s="83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  <c r="AQ917" s="72"/>
      <c r="AR917" s="72"/>
      <c r="AS917" s="72"/>
      <c r="AT917" s="72"/>
      <c r="AU917" s="72"/>
      <c r="AV917" s="72"/>
      <c r="AW917" s="72"/>
      <c r="AX917" s="72"/>
      <c r="AY917" s="72"/>
      <c r="AZ917" s="72"/>
      <c r="BA917" s="72"/>
      <c r="BB917" s="72"/>
      <c r="BC917" s="72"/>
      <c r="BD917" s="72"/>
      <c r="BE917" s="72"/>
      <c r="BF917" s="72"/>
      <c r="BG917" s="72"/>
      <c r="BH917" s="72"/>
      <c r="BI917" s="72"/>
      <c r="BJ917" s="72"/>
      <c r="BK917" s="72"/>
      <c r="BL917" s="72"/>
      <c r="BM917" s="72"/>
      <c r="BN917" s="72"/>
      <c r="BO917" s="72"/>
      <c r="BP917" s="72"/>
      <c r="BQ917" s="72"/>
      <c r="BR917" s="72"/>
      <c r="BS917" s="72"/>
      <c r="BT917" s="72"/>
      <c r="BU917" s="72"/>
      <c r="BV917" s="72"/>
      <c r="BW917" s="72"/>
    </row>
    <row r="918" ht="21.0" customHeight="1">
      <c r="A918" s="12"/>
      <c r="B918" s="84"/>
      <c r="C918" s="83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  <c r="AQ918" s="72"/>
      <c r="AR918" s="72"/>
      <c r="AS918" s="72"/>
      <c r="AT918" s="72"/>
      <c r="AU918" s="72"/>
      <c r="AV918" s="72"/>
      <c r="AW918" s="72"/>
      <c r="AX918" s="72"/>
      <c r="AY918" s="72"/>
      <c r="AZ918" s="72"/>
      <c r="BA918" s="72"/>
      <c r="BB918" s="72"/>
      <c r="BC918" s="72"/>
      <c r="BD918" s="72"/>
      <c r="BE918" s="72"/>
      <c r="BF918" s="72"/>
      <c r="BG918" s="72"/>
      <c r="BH918" s="72"/>
      <c r="BI918" s="72"/>
      <c r="BJ918" s="72"/>
      <c r="BK918" s="72"/>
      <c r="BL918" s="72"/>
      <c r="BM918" s="72"/>
      <c r="BN918" s="72"/>
      <c r="BO918" s="72"/>
      <c r="BP918" s="72"/>
      <c r="BQ918" s="72"/>
      <c r="BR918" s="72"/>
      <c r="BS918" s="72"/>
      <c r="BT918" s="72"/>
      <c r="BU918" s="72"/>
      <c r="BV918" s="72"/>
      <c r="BW918" s="72"/>
    </row>
    <row r="919" ht="21.0" customHeight="1">
      <c r="A919" s="12"/>
      <c r="B919" s="84"/>
      <c r="C919" s="83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  <c r="AQ919" s="72"/>
      <c r="AR919" s="72"/>
      <c r="AS919" s="72"/>
      <c r="AT919" s="72"/>
      <c r="AU919" s="72"/>
      <c r="AV919" s="72"/>
      <c r="AW919" s="72"/>
      <c r="AX919" s="72"/>
      <c r="AY919" s="72"/>
      <c r="AZ919" s="72"/>
      <c r="BA919" s="72"/>
      <c r="BB919" s="72"/>
      <c r="BC919" s="72"/>
      <c r="BD919" s="72"/>
      <c r="BE919" s="72"/>
      <c r="BF919" s="72"/>
      <c r="BG919" s="72"/>
      <c r="BH919" s="72"/>
      <c r="BI919" s="72"/>
      <c r="BJ919" s="72"/>
      <c r="BK919" s="72"/>
      <c r="BL919" s="72"/>
      <c r="BM919" s="72"/>
      <c r="BN919" s="72"/>
      <c r="BO919" s="72"/>
      <c r="BP919" s="72"/>
      <c r="BQ919" s="72"/>
      <c r="BR919" s="72"/>
      <c r="BS919" s="72"/>
      <c r="BT919" s="72"/>
      <c r="BU919" s="72"/>
      <c r="BV919" s="72"/>
      <c r="BW919" s="72"/>
    </row>
    <row r="920" ht="21.0" customHeight="1">
      <c r="A920" s="12"/>
      <c r="B920" s="84"/>
      <c r="C920" s="83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  <c r="AQ920" s="72"/>
      <c r="AR920" s="72"/>
      <c r="AS920" s="72"/>
      <c r="AT920" s="72"/>
      <c r="AU920" s="72"/>
      <c r="AV920" s="72"/>
      <c r="AW920" s="72"/>
      <c r="AX920" s="72"/>
      <c r="AY920" s="72"/>
      <c r="AZ920" s="72"/>
      <c r="BA920" s="72"/>
      <c r="BB920" s="72"/>
      <c r="BC920" s="72"/>
      <c r="BD920" s="72"/>
      <c r="BE920" s="72"/>
      <c r="BF920" s="72"/>
      <c r="BG920" s="72"/>
      <c r="BH920" s="72"/>
      <c r="BI920" s="72"/>
      <c r="BJ920" s="72"/>
      <c r="BK920" s="72"/>
      <c r="BL920" s="72"/>
      <c r="BM920" s="72"/>
      <c r="BN920" s="72"/>
      <c r="BO920" s="72"/>
      <c r="BP920" s="72"/>
      <c r="BQ920" s="72"/>
      <c r="BR920" s="72"/>
      <c r="BS920" s="72"/>
      <c r="BT920" s="72"/>
      <c r="BU920" s="72"/>
      <c r="BV920" s="72"/>
      <c r="BW920" s="72"/>
    </row>
    <row r="921" ht="21.0" customHeight="1">
      <c r="A921" s="12"/>
      <c r="B921" s="84"/>
      <c r="C921" s="83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  <c r="AQ921" s="72"/>
      <c r="AR921" s="72"/>
      <c r="AS921" s="72"/>
      <c r="AT921" s="72"/>
      <c r="AU921" s="72"/>
      <c r="AV921" s="72"/>
      <c r="AW921" s="72"/>
      <c r="AX921" s="72"/>
      <c r="AY921" s="72"/>
      <c r="AZ921" s="72"/>
      <c r="BA921" s="72"/>
      <c r="BB921" s="72"/>
      <c r="BC921" s="72"/>
      <c r="BD921" s="72"/>
      <c r="BE921" s="72"/>
      <c r="BF921" s="72"/>
      <c r="BG921" s="72"/>
      <c r="BH921" s="72"/>
      <c r="BI921" s="72"/>
      <c r="BJ921" s="72"/>
      <c r="BK921" s="72"/>
      <c r="BL921" s="72"/>
      <c r="BM921" s="72"/>
      <c r="BN921" s="72"/>
      <c r="BO921" s="72"/>
      <c r="BP921" s="72"/>
      <c r="BQ921" s="72"/>
      <c r="BR921" s="72"/>
      <c r="BS921" s="72"/>
      <c r="BT921" s="72"/>
      <c r="BU921" s="72"/>
      <c r="BV921" s="72"/>
      <c r="BW921" s="72"/>
    </row>
    <row r="922" ht="21.0" customHeight="1">
      <c r="A922" s="12"/>
      <c r="B922" s="84"/>
      <c r="C922" s="83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  <c r="AQ922" s="72"/>
      <c r="AR922" s="72"/>
      <c r="AS922" s="72"/>
      <c r="AT922" s="72"/>
      <c r="AU922" s="72"/>
      <c r="AV922" s="72"/>
      <c r="AW922" s="72"/>
      <c r="AX922" s="72"/>
      <c r="AY922" s="72"/>
      <c r="AZ922" s="72"/>
      <c r="BA922" s="72"/>
      <c r="BB922" s="72"/>
      <c r="BC922" s="72"/>
      <c r="BD922" s="72"/>
      <c r="BE922" s="72"/>
      <c r="BF922" s="72"/>
      <c r="BG922" s="72"/>
      <c r="BH922" s="72"/>
      <c r="BI922" s="72"/>
      <c r="BJ922" s="72"/>
      <c r="BK922" s="72"/>
      <c r="BL922" s="72"/>
      <c r="BM922" s="72"/>
      <c r="BN922" s="72"/>
      <c r="BO922" s="72"/>
      <c r="BP922" s="72"/>
      <c r="BQ922" s="72"/>
      <c r="BR922" s="72"/>
      <c r="BS922" s="72"/>
      <c r="BT922" s="72"/>
      <c r="BU922" s="72"/>
      <c r="BV922" s="72"/>
      <c r="BW922" s="72"/>
    </row>
    <row r="923" ht="21.0" customHeight="1">
      <c r="A923" s="12"/>
      <c r="B923" s="84"/>
      <c r="C923" s="83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  <c r="AQ923" s="72"/>
      <c r="AR923" s="72"/>
      <c r="AS923" s="72"/>
      <c r="AT923" s="72"/>
      <c r="AU923" s="72"/>
      <c r="AV923" s="72"/>
      <c r="AW923" s="72"/>
      <c r="AX923" s="72"/>
      <c r="AY923" s="72"/>
      <c r="AZ923" s="72"/>
      <c r="BA923" s="72"/>
      <c r="BB923" s="72"/>
      <c r="BC923" s="72"/>
      <c r="BD923" s="72"/>
      <c r="BE923" s="72"/>
      <c r="BF923" s="72"/>
      <c r="BG923" s="72"/>
      <c r="BH923" s="72"/>
      <c r="BI923" s="72"/>
      <c r="BJ923" s="72"/>
      <c r="BK923" s="72"/>
      <c r="BL923" s="72"/>
      <c r="BM923" s="72"/>
      <c r="BN923" s="72"/>
      <c r="BO923" s="72"/>
      <c r="BP923" s="72"/>
      <c r="BQ923" s="72"/>
      <c r="BR923" s="72"/>
      <c r="BS923" s="72"/>
      <c r="BT923" s="72"/>
      <c r="BU923" s="72"/>
      <c r="BV923" s="72"/>
      <c r="BW923" s="72"/>
    </row>
    <row r="924" ht="21.0" customHeight="1">
      <c r="A924" s="12"/>
      <c r="B924" s="84"/>
      <c r="C924" s="83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  <c r="AQ924" s="72"/>
      <c r="AR924" s="72"/>
      <c r="AS924" s="72"/>
      <c r="AT924" s="72"/>
      <c r="AU924" s="72"/>
      <c r="AV924" s="72"/>
      <c r="AW924" s="72"/>
      <c r="AX924" s="72"/>
      <c r="AY924" s="72"/>
      <c r="AZ924" s="72"/>
      <c r="BA924" s="72"/>
      <c r="BB924" s="72"/>
      <c r="BC924" s="72"/>
      <c r="BD924" s="72"/>
      <c r="BE924" s="72"/>
      <c r="BF924" s="72"/>
      <c r="BG924" s="72"/>
      <c r="BH924" s="72"/>
      <c r="BI924" s="72"/>
      <c r="BJ924" s="72"/>
      <c r="BK924" s="72"/>
      <c r="BL924" s="72"/>
      <c r="BM924" s="72"/>
      <c r="BN924" s="72"/>
      <c r="BO924" s="72"/>
      <c r="BP924" s="72"/>
      <c r="BQ924" s="72"/>
      <c r="BR924" s="72"/>
      <c r="BS924" s="72"/>
      <c r="BT924" s="72"/>
      <c r="BU924" s="72"/>
      <c r="BV924" s="72"/>
      <c r="BW924" s="72"/>
    </row>
    <row r="925" ht="21.0" customHeight="1">
      <c r="A925" s="12"/>
      <c r="B925" s="84"/>
      <c r="C925" s="83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  <c r="AQ925" s="72"/>
      <c r="AR925" s="72"/>
      <c r="AS925" s="72"/>
      <c r="AT925" s="72"/>
      <c r="AU925" s="72"/>
      <c r="AV925" s="72"/>
      <c r="AW925" s="72"/>
      <c r="AX925" s="72"/>
      <c r="AY925" s="72"/>
      <c r="AZ925" s="72"/>
      <c r="BA925" s="72"/>
      <c r="BB925" s="72"/>
      <c r="BC925" s="72"/>
      <c r="BD925" s="72"/>
      <c r="BE925" s="72"/>
      <c r="BF925" s="72"/>
      <c r="BG925" s="72"/>
      <c r="BH925" s="72"/>
      <c r="BI925" s="72"/>
      <c r="BJ925" s="72"/>
      <c r="BK925" s="72"/>
      <c r="BL925" s="72"/>
      <c r="BM925" s="72"/>
      <c r="BN925" s="72"/>
      <c r="BO925" s="72"/>
      <c r="BP925" s="72"/>
      <c r="BQ925" s="72"/>
      <c r="BR925" s="72"/>
      <c r="BS925" s="72"/>
      <c r="BT925" s="72"/>
      <c r="BU925" s="72"/>
      <c r="BV925" s="72"/>
      <c r="BW925" s="72"/>
    </row>
    <row r="926" ht="21.0" customHeight="1">
      <c r="A926" s="12"/>
      <c r="B926" s="84"/>
      <c r="C926" s="83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  <c r="AQ926" s="72"/>
      <c r="AR926" s="72"/>
      <c r="AS926" s="72"/>
      <c r="AT926" s="72"/>
      <c r="AU926" s="72"/>
      <c r="AV926" s="72"/>
      <c r="AW926" s="72"/>
      <c r="AX926" s="72"/>
      <c r="AY926" s="72"/>
      <c r="AZ926" s="72"/>
      <c r="BA926" s="72"/>
      <c r="BB926" s="72"/>
      <c r="BC926" s="72"/>
      <c r="BD926" s="72"/>
      <c r="BE926" s="72"/>
      <c r="BF926" s="72"/>
      <c r="BG926" s="72"/>
      <c r="BH926" s="72"/>
      <c r="BI926" s="72"/>
      <c r="BJ926" s="72"/>
      <c r="BK926" s="72"/>
      <c r="BL926" s="72"/>
      <c r="BM926" s="72"/>
      <c r="BN926" s="72"/>
      <c r="BO926" s="72"/>
      <c r="BP926" s="72"/>
      <c r="BQ926" s="72"/>
      <c r="BR926" s="72"/>
      <c r="BS926" s="72"/>
      <c r="BT926" s="72"/>
      <c r="BU926" s="72"/>
      <c r="BV926" s="72"/>
      <c r="BW926" s="72"/>
    </row>
    <row r="927" ht="21.0" customHeight="1">
      <c r="A927" s="12"/>
      <c r="B927" s="84"/>
      <c r="C927" s="83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  <c r="AQ927" s="72"/>
      <c r="AR927" s="72"/>
      <c r="AS927" s="72"/>
      <c r="AT927" s="72"/>
      <c r="AU927" s="72"/>
      <c r="AV927" s="72"/>
      <c r="AW927" s="72"/>
      <c r="AX927" s="72"/>
      <c r="AY927" s="72"/>
      <c r="AZ927" s="72"/>
      <c r="BA927" s="72"/>
      <c r="BB927" s="72"/>
      <c r="BC927" s="72"/>
      <c r="BD927" s="72"/>
      <c r="BE927" s="72"/>
      <c r="BF927" s="72"/>
      <c r="BG927" s="72"/>
      <c r="BH927" s="72"/>
      <c r="BI927" s="72"/>
      <c r="BJ927" s="72"/>
      <c r="BK927" s="72"/>
      <c r="BL927" s="72"/>
      <c r="BM927" s="72"/>
      <c r="BN927" s="72"/>
      <c r="BO927" s="72"/>
      <c r="BP927" s="72"/>
      <c r="BQ927" s="72"/>
      <c r="BR927" s="72"/>
      <c r="BS927" s="72"/>
      <c r="BT927" s="72"/>
      <c r="BU927" s="72"/>
      <c r="BV927" s="72"/>
      <c r="BW927" s="72"/>
    </row>
    <row r="928" ht="21.0" customHeight="1">
      <c r="A928" s="12"/>
      <c r="B928" s="84"/>
      <c r="C928" s="83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  <c r="AQ928" s="72"/>
      <c r="AR928" s="72"/>
      <c r="AS928" s="72"/>
      <c r="AT928" s="72"/>
      <c r="AU928" s="72"/>
      <c r="AV928" s="72"/>
      <c r="AW928" s="72"/>
      <c r="AX928" s="72"/>
      <c r="AY928" s="72"/>
      <c r="AZ928" s="72"/>
      <c r="BA928" s="72"/>
      <c r="BB928" s="72"/>
      <c r="BC928" s="72"/>
      <c r="BD928" s="72"/>
      <c r="BE928" s="72"/>
      <c r="BF928" s="72"/>
      <c r="BG928" s="72"/>
      <c r="BH928" s="72"/>
      <c r="BI928" s="72"/>
      <c r="BJ928" s="72"/>
      <c r="BK928" s="72"/>
      <c r="BL928" s="72"/>
      <c r="BM928" s="72"/>
      <c r="BN928" s="72"/>
      <c r="BO928" s="72"/>
      <c r="BP928" s="72"/>
      <c r="BQ928" s="72"/>
      <c r="BR928" s="72"/>
      <c r="BS928" s="72"/>
      <c r="BT928" s="72"/>
      <c r="BU928" s="72"/>
      <c r="BV928" s="72"/>
      <c r="BW928" s="72"/>
    </row>
    <row r="929" ht="21.0" customHeight="1">
      <c r="A929" s="12"/>
      <c r="B929" s="84"/>
      <c r="C929" s="83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  <c r="AQ929" s="72"/>
      <c r="AR929" s="72"/>
      <c r="AS929" s="72"/>
      <c r="AT929" s="72"/>
      <c r="AU929" s="72"/>
      <c r="AV929" s="72"/>
      <c r="AW929" s="72"/>
      <c r="AX929" s="72"/>
      <c r="AY929" s="72"/>
      <c r="AZ929" s="72"/>
      <c r="BA929" s="72"/>
      <c r="BB929" s="72"/>
      <c r="BC929" s="72"/>
      <c r="BD929" s="72"/>
      <c r="BE929" s="72"/>
      <c r="BF929" s="72"/>
      <c r="BG929" s="72"/>
      <c r="BH929" s="72"/>
      <c r="BI929" s="72"/>
      <c r="BJ929" s="72"/>
      <c r="BK929" s="72"/>
      <c r="BL929" s="72"/>
      <c r="BM929" s="72"/>
      <c r="BN929" s="72"/>
      <c r="BO929" s="72"/>
      <c r="BP929" s="72"/>
      <c r="BQ929" s="72"/>
      <c r="BR929" s="72"/>
      <c r="BS929" s="72"/>
      <c r="BT929" s="72"/>
      <c r="BU929" s="72"/>
      <c r="BV929" s="72"/>
      <c r="BW929" s="72"/>
    </row>
    <row r="930" ht="21.0" customHeight="1">
      <c r="A930" s="12"/>
      <c r="B930" s="84"/>
      <c r="C930" s="83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  <c r="AQ930" s="72"/>
      <c r="AR930" s="72"/>
      <c r="AS930" s="72"/>
      <c r="AT930" s="72"/>
      <c r="AU930" s="72"/>
      <c r="AV930" s="72"/>
      <c r="AW930" s="72"/>
      <c r="AX930" s="72"/>
      <c r="AY930" s="72"/>
      <c r="AZ930" s="72"/>
      <c r="BA930" s="72"/>
      <c r="BB930" s="72"/>
      <c r="BC930" s="72"/>
      <c r="BD930" s="72"/>
      <c r="BE930" s="72"/>
      <c r="BF930" s="72"/>
      <c r="BG930" s="72"/>
      <c r="BH930" s="72"/>
      <c r="BI930" s="72"/>
      <c r="BJ930" s="72"/>
      <c r="BK930" s="72"/>
      <c r="BL930" s="72"/>
      <c r="BM930" s="72"/>
      <c r="BN930" s="72"/>
      <c r="BO930" s="72"/>
      <c r="BP930" s="72"/>
      <c r="BQ930" s="72"/>
      <c r="BR930" s="72"/>
      <c r="BS930" s="72"/>
      <c r="BT930" s="72"/>
      <c r="BU930" s="72"/>
      <c r="BV930" s="72"/>
      <c r="BW930" s="72"/>
    </row>
    <row r="931" ht="21.0" customHeight="1">
      <c r="A931" s="12"/>
      <c r="B931" s="84"/>
      <c r="C931" s="83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  <c r="AQ931" s="72"/>
      <c r="AR931" s="72"/>
      <c r="AS931" s="72"/>
      <c r="AT931" s="72"/>
      <c r="AU931" s="72"/>
      <c r="AV931" s="72"/>
      <c r="AW931" s="72"/>
      <c r="AX931" s="72"/>
      <c r="AY931" s="72"/>
      <c r="AZ931" s="72"/>
      <c r="BA931" s="72"/>
      <c r="BB931" s="72"/>
      <c r="BC931" s="72"/>
      <c r="BD931" s="72"/>
      <c r="BE931" s="72"/>
      <c r="BF931" s="72"/>
      <c r="BG931" s="72"/>
      <c r="BH931" s="72"/>
      <c r="BI931" s="72"/>
      <c r="BJ931" s="72"/>
      <c r="BK931" s="72"/>
      <c r="BL931" s="72"/>
      <c r="BM931" s="72"/>
      <c r="BN931" s="72"/>
      <c r="BO931" s="72"/>
      <c r="BP931" s="72"/>
      <c r="BQ931" s="72"/>
      <c r="BR931" s="72"/>
      <c r="BS931" s="72"/>
      <c r="BT931" s="72"/>
      <c r="BU931" s="72"/>
      <c r="BV931" s="72"/>
      <c r="BW931" s="72"/>
    </row>
    <row r="932" ht="21.0" customHeight="1">
      <c r="A932" s="12"/>
      <c r="B932" s="84"/>
      <c r="C932" s="83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  <c r="AQ932" s="72"/>
      <c r="AR932" s="72"/>
      <c r="AS932" s="72"/>
      <c r="AT932" s="72"/>
      <c r="AU932" s="72"/>
      <c r="AV932" s="72"/>
      <c r="AW932" s="72"/>
      <c r="AX932" s="72"/>
      <c r="AY932" s="72"/>
      <c r="AZ932" s="72"/>
      <c r="BA932" s="72"/>
      <c r="BB932" s="72"/>
      <c r="BC932" s="72"/>
      <c r="BD932" s="72"/>
      <c r="BE932" s="72"/>
      <c r="BF932" s="72"/>
      <c r="BG932" s="72"/>
      <c r="BH932" s="72"/>
      <c r="BI932" s="72"/>
      <c r="BJ932" s="72"/>
      <c r="BK932" s="72"/>
      <c r="BL932" s="72"/>
      <c r="BM932" s="72"/>
      <c r="BN932" s="72"/>
      <c r="BO932" s="72"/>
      <c r="BP932" s="72"/>
      <c r="BQ932" s="72"/>
      <c r="BR932" s="72"/>
      <c r="BS932" s="72"/>
      <c r="BT932" s="72"/>
      <c r="BU932" s="72"/>
      <c r="BV932" s="72"/>
      <c r="BW932" s="72"/>
    </row>
    <row r="933" ht="21.0" customHeight="1">
      <c r="A933" s="12"/>
      <c r="B933" s="84"/>
      <c r="C933" s="83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  <c r="AQ933" s="72"/>
      <c r="AR933" s="72"/>
      <c r="AS933" s="72"/>
      <c r="AT933" s="72"/>
      <c r="AU933" s="72"/>
      <c r="AV933" s="72"/>
      <c r="AW933" s="72"/>
      <c r="AX933" s="72"/>
      <c r="AY933" s="72"/>
      <c r="AZ933" s="72"/>
      <c r="BA933" s="72"/>
      <c r="BB933" s="72"/>
      <c r="BC933" s="72"/>
      <c r="BD933" s="72"/>
      <c r="BE933" s="72"/>
      <c r="BF933" s="72"/>
      <c r="BG933" s="72"/>
      <c r="BH933" s="72"/>
      <c r="BI933" s="72"/>
      <c r="BJ933" s="72"/>
      <c r="BK933" s="72"/>
      <c r="BL933" s="72"/>
      <c r="BM933" s="72"/>
      <c r="BN933" s="72"/>
      <c r="BO933" s="72"/>
      <c r="BP933" s="72"/>
      <c r="BQ933" s="72"/>
      <c r="BR933" s="72"/>
      <c r="BS933" s="72"/>
      <c r="BT933" s="72"/>
      <c r="BU933" s="72"/>
      <c r="BV933" s="72"/>
      <c r="BW933" s="72"/>
    </row>
    <row r="934" ht="21.0" customHeight="1">
      <c r="A934" s="12"/>
      <c r="B934" s="84"/>
      <c r="C934" s="83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  <c r="AQ934" s="72"/>
      <c r="AR934" s="72"/>
      <c r="AS934" s="72"/>
      <c r="AT934" s="72"/>
      <c r="AU934" s="72"/>
      <c r="AV934" s="72"/>
      <c r="AW934" s="72"/>
      <c r="AX934" s="72"/>
      <c r="AY934" s="72"/>
      <c r="AZ934" s="72"/>
      <c r="BA934" s="72"/>
      <c r="BB934" s="72"/>
      <c r="BC934" s="72"/>
      <c r="BD934" s="72"/>
      <c r="BE934" s="72"/>
      <c r="BF934" s="72"/>
      <c r="BG934" s="72"/>
      <c r="BH934" s="72"/>
      <c r="BI934" s="72"/>
      <c r="BJ934" s="72"/>
      <c r="BK934" s="72"/>
      <c r="BL934" s="72"/>
      <c r="BM934" s="72"/>
      <c r="BN934" s="72"/>
      <c r="BO934" s="72"/>
      <c r="BP934" s="72"/>
      <c r="BQ934" s="72"/>
      <c r="BR934" s="72"/>
      <c r="BS934" s="72"/>
      <c r="BT934" s="72"/>
      <c r="BU934" s="72"/>
      <c r="BV934" s="72"/>
      <c r="BW934" s="72"/>
    </row>
    <row r="935" ht="21.0" customHeight="1">
      <c r="A935" s="12"/>
      <c r="B935" s="84"/>
      <c r="C935" s="83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  <c r="AQ935" s="72"/>
      <c r="AR935" s="72"/>
      <c r="AS935" s="72"/>
      <c r="AT935" s="72"/>
      <c r="AU935" s="72"/>
      <c r="AV935" s="72"/>
      <c r="AW935" s="72"/>
      <c r="AX935" s="72"/>
      <c r="AY935" s="72"/>
      <c r="AZ935" s="72"/>
      <c r="BA935" s="72"/>
      <c r="BB935" s="72"/>
      <c r="BC935" s="72"/>
      <c r="BD935" s="72"/>
      <c r="BE935" s="72"/>
      <c r="BF935" s="72"/>
      <c r="BG935" s="72"/>
      <c r="BH935" s="72"/>
      <c r="BI935" s="72"/>
      <c r="BJ935" s="72"/>
      <c r="BK935" s="72"/>
      <c r="BL935" s="72"/>
      <c r="BM935" s="72"/>
      <c r="BN935" s="72"/>
      <c r="BO935" s="72"/>
      <c r="BP935" s="72"/>
      <c r="BQ935" s="72"/>
      <c r="BR935" s="72"/>
      <c r="BS935" s="72"/>
      <c r="BT935" s="72"/>
      <c r="BU935" s="72"/>
      <c r="BV935" s="72"/>
      <c r="BW935" s="72"/>
    </row>
    <row r="936" ht="21.0" customHeight="1">
      <c r="A936" s="12"/>
      <c r="B936" s="84"/>
      <c r="C936" s="83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  <c r="AQ936" s="72"/>
      <c r="AR936" s="72"/>
      <c r="AS936" s="72"/>
      <c r="AT936" s="72"/>
      <c r="AU936" s="72"/>
      <c r="AV936" s="72"/>
      <c r="AW936" s="72"/>
      <c r="AX936" s="72"/>
      <c r="AY936" s="72"/>
      <c r="AZ936" s="72"/>
      <c r="BA936" s="72"/>
      <c r="BB936" s="72"/>
      <c r="BC936" s="72"/>
      <c r="BD936" s="72"/>
      <c r="BE936" s="72"/>
      <c r="BF936" s="72"/>
      <c r="BG936" s="72"/>
      <c r="BH936" s="72"/>
      <c r="BI936" s="72"/>
      <c r="BJ936" s="72"/>
      <c r="BK936" s="72"/>
      <c r="BL936" s="72"/>
      <c r="BM936" s="72"/>
      <c r="BN936" s="72"/>
      <c r="BO936" s="72"/>
      <c r="BP936" s="72"/>
      <c r="BQ936" s="72"/>
      <c r="BR936" s="72"/>
      <c r="BS936" s="72"/>
      <c r="BT936" s="72"/>
      <c r="BU936" s="72"/>
      <c r="BV936" s="72"/>
      <c r="BW936" s="72"/>
    </row>
    <row r="937" ht="21.0" customHeight="1">
      <c r="A937" s="12"/>
      <c r="B937" s="84"/>
      <c r="C937" s="83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  <c r="AQ937" s="72"/>
      <c r="AR937" s="72"/>
      <c r="AS937" s="72"/>
      <c r="AT937" s="72"/>
      <c r="AU937" s="72"/>
      <c r="AV937" s="72"/>
      <c r="AW937" s="72"/>
      <c r="AX937" s="72"/>
      <c r="AY937" s="72"/>
      <c r="AZ937" s="72"/>
      <c r="BA937" s="72"/>
      <c r="BB937" s="72"/>
      <c r="BC937" s="72"/>
      <c r="BD937" s="72"/>
      <c r="BE937" s="72"/>
      <c r="BF937" s="72"/>
      <c r="BG937" s="72"/>
      <c r="BH937" s="72"/>
      <c r="BI937" s="72"/>
      <c r="BJ937" s="72"/>
      <c r="BK937" s="72"/>
      <c r="BL937" s="72"/>
      <c r="BM937" s="72"/>
      <c r="BN937" s="72"/>
      <c r="BO937" s="72"/>
      <c r="BP937" s="72"/>
      <c r="BQ937" s="72"/>
      <c r="BR937" s="72"/>
      <c r="BS937" s="72"/>
      <c r="BT937" s="72"/>
      <c r="BU937" s="72"/>
      <c r="BV937" s="72"/>
      <c r="BW937" s="72"/>
    </row>
    <row r="938" ht="21.0" customHeight="1">
      <c r="A938" s="12"/>
      <c r="B938" s="84"/>
      <c r="C938" s="83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  <c r="AQ938" s="72"/>
      <c r="AR938" s="72"/>
      <c r="AS938" s="72"/>
      <c r="AT938" s="72"/>
      <c r="AU938" s="72"/>
      <c r="AV938" s="72"/>
      <c r="AW938" s="72"/>
      <c r="AX938" s="72"/>
      <c r="AY938" s="72"/>
      <c r="AZ938" s="72"/>
      <c r="BA938" s="72"/>
      <c r="BB938" s="72"/>
      <c r="BC938" s="72"/>
      <c r="BD938" s="72"/>
      <c r="BE938" s="72"/>
      <c r="BF938" s="72"/>
      <c r="BG938" s="72"/>
      <c r="BH938" s="72"/>
      <c r="BI938" s="72"/>
      <c r="BJ938" s="72"/>
      <c r="BK938" s="72"/>
      <c r="BL938" s="72"/>
      <c r="BM938" s="72"/>
      <c r="BN938" s="72"/>
      <c r="BO938" s="72"/>
      <c r="BP938" s="72"/>
      <c r="BQ938" s="72"/>
      <c r="BR938" s="72"/>
      <c r="BS938" s="72"/>
      <c r="BT938" s="72"/>
      <c r="BU938" s="72"/>
      <c r="BV938" s="72"/>
      <c r="BW938" s="72"/>
    </row>
    <row r="939" ht="21.0" customHeight="1">
      <c r="A939" s="12"/>
      <c r="B939" s="84"/>
      <c r="C939" s="83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  <c r="AQ939" s="72"/>
      <c r="AR939" s="72"/>
      <c r="AS939" s="72"/>
      <c r="AT939" s="72"/>
      <c r="AU939" s="72"/>
      <c r="AV939" s="72"/>
      <c r="AW939" s="72"/>
      <c r="AX939" s="72"/>
      <c r="AY939" s="72"/>
      <c r="AZ939" s="72"/>
      <c r="BA939" s="72"/>
      <c r="BB939" s="72"/>
      <c r="BC939" s="72"/>
      <c r="BD939" s="72"/>
      <c r="BE939" s="72"/>
      <c r="BF939" s="72"/>
      <c r="BG939" s="72"/>
      <c r="BH939" s="72"/>
      <c r="BI939" s="72"/>
      <c r="BJ939" s="72"/>
      <c r="BK939" s="72"/>
      <c r="BL939" s="72"/>
      <c r="BM939" s="72"/>
      <c r="BN939" s="72"/>
      <c r="BO939" s="72"/>
      <c r="BP939" s="72"/>
      <c r="BQ939" s="72"/>
      <c r="BR939" s="72"/>
      <c r="BS939" s="72"/>
      <c r="BT939" s="72"/>
      <c r="BU939" s="72"/>
      <c r="BV939" s="72"/>
      <c r="BW939" s="72"/>
    </row>
    <row r="940" ht="21.0" customHeight="1">
      <c r="A940" s="12"/>
      <c r="B940" s="84"/>
      <c r="C940" s="83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  <c r="AQ940" s="72"/>
      <c r="AR940" s="72"/>
      <c r="AS940" s="72"/>
      <c r="AT940" s="72"/>
      <c r="AU940" s="72"/>
      <c r="AV940" s="72"/>
      <c r="AW940" s="72"/>
      <c r="AX940" s="72"/>
      <c r="AY940" s="72"/>
      <c r="AZ940" s="72"/>
      <c r="BA940" s="72"/>
      <c r="BB940" s="72"/>
      <c r="BC940" s="72"/>
      <c r="BD940" s="72"/>
      <c r="BE940" s="72"/>
      <c r="BF940" s="72"/>
      <c r="BG940" s="72"/>
      <c r="BH940" s="72"/>
      <c r="BI940" s="72"/>
      <c r="BJ940" s="72"/>
      <c r="BK940" s="72"/>
      <c r="BL940" s="72"/>
      <c r="BM940" s="72"/>
      <c r="BN940" s="72"/>
      <c r="BO940" s="72"/>
      <c r="BP940" s="72"/>
      <c r="BQ940" s="72"/>
      <c r="BR940" s="72"/>
      <c r="BS940" s="72"/>
      <c r="BT940" s="72"/>
      <c r="BU940" s="72"/>
      <c r="BV940" s="72"/>
      <c r="BW940" s="72"/>
    </row>
    <row r="941" ht="21.0" customHeight="1">
      <c r="A941" s="12"/>
      <c r="B941" s="84"/>
      <c r="C941" s="83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  <c r="AQ941" s="72"/>
      <c r="AR941" s="72"/>
      <c r="AS941" s="72"/>
      <c r="AT941" s="72"/>
      <c r="AU941" s="72"/>
      <c r="AV941" s="72"/>
      <c r="AW941" s="72"/>
      <c r="AX941" s="72"/>
      <c r="AY941" s="72"/>
      <c r="AZ941" s="72"/>
      <c r="BA941" s="72"/>
      <c r="BB941" s="72"/>
      <c r="BC941" s="72"/>
      <c r="BD941" s="72"/>
      <c r="BE941" s="72"/>
      <c r="BF941" s="72"/>
      <c r="BG941" s="72"/>
      <c r="BH941" s="72"/>
      <c r="BI941" s="72"/>
      <c r="BJ941" s="72"/>
      <c r="BK941" s="72"/>
      <c r="BL941" s="72"/>
      <c r="BM941" s="72"/>
      <c r="BN941" s="72"/>
      <c r="BO941" s="72"/>
      <c r="BP941" s="72"/>
      <c r="BQ941" s="72"/>
      <c r="BR941" s="72"/>
      <c r="BS941" s="72"/>
      <c r="BT941" s="72"/>
      <c r="BU941" s="72"/>
      <c r="BV941" s="72"/>
      <c r="BW941" s="72"/>
    </row>
    <row r="942" ht="21.0" customHeight="1">
      <c r="A942" s="12"/>
      <c r="B942" s="84"/>
      <c r="C942" s="83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  <c r="AQ942" s="72"/>
      <c r="AR942" s="72"/>
      <c r="AS942" s="72"/>
      <c r="AT942" s="72"/>
      <c r="AU942" s="72"/>
      <c r="AV942" s="72"/>
      <c r="AW942" s="72"/>
      <c r="AX942" s="72"/>
      <c r="AY942" s="72"/>
      <c r="AZ942" s="72"/>
      <c r="BA942" s="72"/>
      <c r="BB942" s="72"/>
      <c r="BC942" s="72"/>
      <c r="BD942" s="72"/>
      <c r="BE942" s="72"/>
      <c r="BF942" s="72"/>
      <c r="BG942" s="72"/>
      <c r="BH942" s="72"/>
      <c r="BI942" s="72"/>
      <c r="BJ942" s="72"/>
      <c r="BK942" s="72"/>
      <c r="BL942" s="72"/>
      <c r="BM942" s="72"/>
      <c r="BN942" s="72"/>
      <c r="BO942" s="72"/>
      <c r="BP942" s="72"/>
      <c r="BQ942" s="72"/>
      <c r="BR942" s="72"/>
      <c r="BS942" s="72"/>
      <c r="BT942" s="72"/>
      <c r="BU942" s="72"/>
      <c r="BV942" s="72"/>
      <c r="BW942" s="72"/>
    </row>
    <row r="943" ht="21.0" customHeight="1">
      <c r="A943" s="12"/>
      <c r="B943" s="84"/>
      <c r="C943" s="83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  <c r="AQ943" s="72"/>
      <c r="AR943" s="72"/>
      <c r="AS943" s="72"/>
      <c r="AT943" s="72"/>
      <c r="AU943" s="72"/>
      <c r="AV943" s="72"/>
      <c r="AW943" s="72"/>
      <c r="AX943" s="72"/>
      <c r="AY943" s="72"/>
      <c r="AZ943" s="72"/>
      <c r="BA943" s="72"/>
      <c r="BB943" s="72"/>
      <c r="BC943" s="72"/>
      <c r="BD943" s="72"/>
      <c r="BE943" s="72"/>
      <c r="BF943" s="72"/>
      <c r="BG943" s="72"/>
      <c r="BH943" s="72"/>
      <c r="BI943" s="72"/>
      <c r="BJ943" s="72"/>
      <c r="BK943" s="72"/>
      <c r="BL943" s="72"/>
      <c r="BM943" s="72"/>
      <c r="BN943" s="72"/>
      <c r="BO943" s="72"/>
      <c r="BP943" s="72"/>
      <c r="BQ943" s="72"/>
      <c r="BR943" s="72"/>
      <c r="BS943" s="72"/>
      <c r="BT943" s="72"/>
      <c r="BU943" s="72"/>
      <c r="BV943" s="72"/>
      <c r="BW943" s="72"/>
    </row>
    <row r="944" ht="21.0" customHeight="1">
      <c r="A944" s="12"/>
      <c r="B944" s="84"/>
      <c r="C944" s="83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  <c r="AQ944" s="72"/>
      <c r="AR944" s="72"/>
      <c r="AS944" s="72"/>
      <c r="AT944" s="72"/>
      <c r="AU944" s="72"/>
      <c r="AV944" s="72"/>
      <c r="AW944" s="72"/>
      <c r="AX944" s="72"/>
      <c r="AY944" s="72"/>
      <c r="AZ944" s="72"/>
      <c r="BA944" s="72"/>
      <c r="BB944" s="72"/>
      <c r="BC944" s="72"/>
      <c r="BD944" s="72"/>
      <c r="BE944" s="72"/>
      <c r="BF944" s="72"/>
      <c r="BG944" s="72"/>
      <c r="BH944" s="72"/>
      <c r="BI944" s="72"/>
      <c r="BJ944" s="72"/>
      <c r="BK944" s="72"/>
      <c r="BL944" s="72"/>
      <c r="BM944" s="72"/>
      <c r="BN944" s="72"/>
      <c r="BO944" s="72"/>
      <c r="BP944" s="72"/>
      <c r="BQ944" s="72"/>
      <c r="BR944" s="72"/>
      <c r="BS944" s="72"/>
      <c r="BT944" s="72"/>
      <c r="BU944" s="72"/>
      <c r="BV944" s="72"/>
      <c r="BW944" s="72"/>
    </row>
    <row r="945" ht="21.0" customHeight="1">
      <c r="A945" s="12"/>
      <c r="B945" s="84"/>
      <c r="C945" s="83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  <c r="AQ945" s="72"/>
      <c r="AR945" s="72"/>
      <c r="AS945" s="72"/>
      <c r="AT945" s="72"/>
      <c r="AU945" s="72"/>
      <c r="AV945" s="72"/>
      <c r="AW945" s="72"/>
      <c r="AX945" s="72"/>
      <c r="AY945" s="72"/>
      <c r="AZ945" s="72"/>
      <c r="BA945" s="72"/>
      <c r="BB945" s="72"/>
      <c r="BC945" s="72"/>
      <c r="BD945" s="72"/>
      <c r="BE945" s="72"/>
      <c r="BF945" s="72"/>
      <c r="BG945" s="72"/>
      <c r="BH945" s="72"/>
      <c r="BI945" s="72"/>
      <c r="BJ945" s="72"/>
      <c r="BK945" s="72"/>
      <c r="BL945" s="72"/>
      <c r="BM945" s="72"/>
      <c r="BN945" s="72"/>
      <c r="BO945" s="72"/>
      <c r="BP945" s="72"/>
      <c r="BQ945" s="72"/>
      <c r="BR945" s="72"/>
      <c r="BS945" s="72"/>
      <c r="BT945" s="72"/>
      <c r="BU945" s="72"/>
      <c r="BV945" s="72"/>
      <c r="BW945" s="72"/>
    </row>
    <row r="946" ht="21.0" customHeight="1">
      <c r="A946" s="12"/>
      <c r="B946" s="84"/>
      <c r="C946" s="83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  <c r="AQ946" s="72"/>
      <c r="AR946" s="72"/>
      <c r="AS946" s="72"/>
      <c r="AT946" s="72"/>
      <c r="AU946" s="72"/>
      <c r="AV946" s="72"/>
      <c r="AW946" s="72"/>
      <c r="AX946" s="72"/>
      <c r="AY946" s="72"/>
      <c r="AZ946" s="72"/>
      <c r="BA946" s="72"/>
      <c r="BB946" s="72"/>
      <c r="BC946" s="72"/>
      <c r="BD946" s="72"/>
      <c r="BE946" s="72"/>
      <c r="BF946" s="72"/>
      <c r="BG946" s="72"/>
      <c r="BH946" s="72"/>
      <c r="BI946" s="72"/>
      <c r="BJ946" s="72"/>
      <c r="BK946" s="72"/>
      <c r="BL946" s="72"/>
      <c r="BM946" s="72"/>
      <c r="BN946" s="72"/>
      <c r="BO946" s="72"/>
      <c r="BP946" s="72"/>
      <c r="BQ946" s="72"/>
      <c r="BR946" s="72"/>
      <c r="BS946" s="72"/>
      <c r="BT946" s="72"/>
      <c r="BU946" s="72"/>
      <c r="BV946" s="72"/>
      <c r="BW946" s="72"/>
    </row>
    <row r="947" ht="21.0" customHeight="1">
      <c r="A947" s="12"/>
      <c r="B947" s="84"/>
      <c r="C947" s="83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  <c r="AQ947" s="72"/>
      <c r="AR947" s="72"/>
      <c r="AS947" s="72"/>
      <c r="AT947" s="72"/>
      <c r="AU947" s="72"/>
      <c r="AV947" s="72"/>
      <c r="AW947" s="72"/>
      <c r="AX947" s="72"/>
      <c r="AY947" s="72"/>
      <c r="AZ947" s="72"/>
      <c r="BA947" s="72"/>
      <c r="BB947" s="72"/>
      <c r="BC947" s="72"/>
      <c r="BD947" s="72"/>
      <c r="BE947" s="72"/>
      <c r="BF947" s="72"/>
      <c r="BG947" s="72"/>
      <c r="BH947" s="72"/>
      <c r="BI947" s="72"/>
      <c r="BJ947" s="72"/>
      <c r="BK947" s="72"/>
      <c r="BL947" s="72"/>
      <c r="BM947" s="72"/>
      <c r="BN947" s="72"/>
      <c r="BO947" s="72"/>
      <c r="BP947" s="72"/>
      <c r="BQ947" s="72"/>
      <c r="BR947" s="72"/>
      <c r="BS947" s="72"/>
      <c r="BT947" s="72"/>
      <c r="BU947" s="72"/>
      <c r="BV947" s="72"/>
      <c r="BW947" s="72"/>
    </row>
    <row r="948" ht="21.0" customHeight="1">
      <c r="A948" s="12"/>
      <c r="B948" s="84"/>
      <c r="C948" s="83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  <c r="AQ948" s="72"/>
      <c r="AR948" s="72"/>
      <c r="AS948" s="72"/>
      <c r="AT948" s="72"/>
      <c r="AU948" s="72"/>
      <c r="AV948" s="72"/>
      <c r="AW948" s="72"/>
      <c r="AX948" s="72"/>
      <c r="AY948" s="72"/>
      <c r="AZ948" s="72"/>
      <c r="BA948" s="72"/>
      <c r="BB948" s="72"/>
      <c r="BC948" s="72"/>
      <c r="BD948" s="72"/>
      <c r="BE948" s="72"/>
      <c r="BF948" s="72"/>
      <c r="BG948" s="72"/>
      <c r="BH948" s="72"/>
      <c r="BI948" s="72"/>
      <c r="BJ948" s="72"/>
      <c r="BK948" s="72"/>
      <c r="BL948" s="72"/>
      <c r="BM948" s="72"/>
      <c r="BN948" s="72"/>
      <c r="BO948" s="72"/>
      <c r="BP948" s="72"/>
      <c r="BQ948" s="72"/>
      <c r="BR948" s="72"/>
      <c r="BS948" s="72"/>
      <c r="BT948" s="72"/>
      <c r="BU948" s="72"/>
      <c r="BV948" s="72"/>
      <c r="BW948" s="72"/>
    </row>
    <row r="949" ht="21.0" customHeight="1">
      <c r="A949" s="12"/>
      <c r="B949" s="84"/>
      <c r="C949" s="83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  <c r="AQ949" s="72"/>
      <c r="AR949" s="72"/>
      <c r="AS949" s="72"/>
      <c r="AT949" s="72"/>
      <c r="AU949" s="72"/>
      <c r="AV949" s="72"/>
      <c r="AW949" s="72"/>
      <c r="AX949" s="72"/>
      <c r="AY949" s="72"/>
      <c r="AZ949" s="72"/>
      <c r="BA949" s="72"/>
      <c r="BB949" s="72"/>
      <c r="BC949" s="72"/>
      <c r="BD949" s="72"/>
      <c r="BE949" s="72"/>
      <c r="BF949" s="72"/>
      <c r="BG949" s="72"/>
      <c r="BH949" s="72"/>
      <c r="BI949" s="72"/>
      <c r="BJ949" s="72"/>
      <c r="BK949" s="72"/>
      <c r="BL949" s="72"/>
      <c r="BM949" s="72"/>
      <c r="BN949" s="72"/>
      <c r="BO949" s="72"/>
      <c r="BP949" s="72"/>
      <c r="BQ949" s="72"/>
      <c r="BR949" s="72"/>
      <c r="BS949" s="72"/>
      <c r="BT949" s="72"/>
      <c r="BU949" s="72"/>
      <c r="BV949" s="72"/>
      <c r="BW949" s="72"/>
    </row>
    <row r="950" ht="21.0" customHeight="1">
      <c r="A950" s="12"/>
      <c r="B950" s="84"/>
      <c r="C950" s="83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  <c r="AQ950" s="72"/>
      <c r="AR950" s="72"/>
      <c r="AS950" s="72"/>
      <c r="AT950" s="72"/>
      <c r="AU950" s="72"/>
      <c r="AV950" s="72"/>
      <c r="AW950" s="72"/>
      <c r="AX950" s="72"/>
      <c r="AY950" s="72"/>
      <c r="AZ950" s="72"/>
      <c r="BA950" s="72"/>
      <c r="BB950" s="72"/>
      <c r="BC950" s="72"/>
      <c r="BD950" s="72"/>
      <c r="BE950" s="72"/>
      <c r="BF950" s="72"/>
      <c r="BG950" s="72"/>
      <c r="BH950" s="72"/>
      <c r="BI950" s="72"/>
      <c r="BJ950" s="72"/>
      <c r="BK950" s="72"/>
      <c r="BL950" s="72"/>
      <c r="BM950" s="72"/>
      <c r="BN950" s="72"/>
      <c r="BO950" s="72"/>
      <c r="BP950" s="72"/>
      <c r="BQ950" s="72"/>
      <c r="BR950" s="72"/>
      <c r="BS950" s="72"/>
      <c r="BT950" s="72"/>
      <c r="BU950" s="72"/>
      <c r="BV950" s="72"/>
      <c r="BW950" s="72"/>
    </row>
    <row r="951" ht="21.0" customHeight="1">
      <c r="A951" s="12"/>
      <c r="B951" s="84"/>
      <c r="C951" s="83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  <c r="AQ951" s="72"/>
      <c r="AR951" s="72"/>
      <c r="AS951" s="72"/>
      <c r="AT951" s="72"/>
      <c r="AU951" s="72"/>
      <c r="AV951" s="72"/>
      <c r="AW951" s="72"/>
      <c r="AX951" s="72"/>
      <c r="AY951" s="72"/>
      <c r="AZ951" s="72"/>
      <c r="BA951" s="72"/>
      <c r="BB951" s="72"/>
      <c r="BC951" s="72"/>
      <c r="BD951" s="72"/>
      <c r="BE951" s="72"/>
      <c r="BF951" s="72"/>
      <c r="BG951" s="72"/>
      <c r="BH951" s="72"/>
      <c r="BI951" s="72"/>
      <c r="BJ951" s="72"/>
      <c r="BK951" s="72"/>
      <c r="BL951" s="72"/>
      <c r="BM951" s="72"/>
      <c r="BN951" s="72"/>
      <c r="BO951" s="72"/>
      <c r="BP951" s="72"/>
      <c r="BQ951" s="72"/>
      <c r="BR951" s="72"/>
      <c r="BS951" s="72"/>
      <c r="BT951" s="72"/>
      <c r="BU951" s="72"/>
      <c r="BV951" s="72"/>
      <c r="BW951" s="72"/>
    </row>
    <row r="952" ht="21.0" customHeight="1">
      <c r="A952" s="12"/>
      <c r="B952" s="84"/>
      <c r="C952" s="83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  <c r="AQ952" s="72"/>
      <c r="AR952" s="72"/>
      <c r="AS952" s="72"/>
      <c r="AT952" s="72"/>
      <c r="AU952" s="72"/>
      <c r="AV952" s="72"/>
      <c r="AW952" s="72"/>
      <c r="AX952" s="72"/>
      <c r="AY952" s="72"/>
      <c r="AZ952" s="72"/>
      <c r="BA952" s="72"/>
      <c r="BB952" s="72"/>
      <c r="BC952" s="72"/>
      <c r="BD952" s="72"/>
      <c r="BE952" s="72"/>
      <c r="BF952" s="72"/>
      <c r="BG952" s="72"/>
      <c r="BH952" s="72"/>
      <c r="BI952" s="72"/>
      <c r="BJ952" s="72"/>
      <c r="BK952" s="72"/>
      <c r="BL952" s="72"/>
      <c r="BM952" s="72"/>
      <c r="BN952" s="72"/>
      <c r="BO952" s="72"/>
      <c r="BP952" s="72"/>
      <c r="BQ952" s="72"/>
      <c r="BR952" s="72"/>
      <c r="BS952" s="72"/>
      <c r="BT952" s="72"/>
      <c r="BU952" s="72"/>
      <c r="BV952" s="72"/>
      <c r="BW952" s="72"/>
    </row>
    <row r="953" ht="21.0" customHeight="1">
      <c r="A953" s="12"/>
      <c r="B953" s="84"/>
      <c r="C953" s="83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  <c r="AQ953" s="72"/>
      <c r="AR953" s="72"/>
      <c r="AS953" s="72"/>
      <c r="AT953" s="72"/>
      <c r="AU953" s="72"/>
      <c r="AV953" s="72"/>
      <c r="AW953" s="72"/>
      <c r="AX953" s="72"/>
      <c r="AY953" s="72"/>
      <c r="AZ953" s="72"/>
      <c r="BA953" s="72"/>
      <c r="BB953" s="72"/>
      <c r="BC953" s="72"/>
      <c r="BD953" s="72"/>
      <c r="BE953" s="72"/>
      <c r="BF953" s="72"/>
      <c r="BG953" s="72"/>
      <c r="BH953" s="72"/>
      <c r="BI953" s="72"/>
      <c r="BJ953" s="72"/>
      <c r="BK953" s="72"/>
      <c r="BL953" s="72"/>
      <c r="BM953" s="72"/>
      <c r="BN953" s="72"/>
      <c r="BO953" s="72"/>
      <c r="BP953" s="72"/>
      <c r="BQ953" s="72"/>
      <c r="BR953" s="72"/>
      <c r="BS953" s="72"/>
      <c r="BT953" s="72"/>
      <c r="BU953" s="72"/>
      <c r="BV953" s="72"/>
      <c r="BW953" s="72"/>
    </row>
    <row r="954" ht="21.0" customHeight="1">
      <c r="A954" s="12"/>
      <c r="B954" s="84"/>
      <c r="C954" s="83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  <c r="AQ954" s="72"/>
      <c r="AR954" s="72"/>
      <c r="AS954" s="72"/>
      <c r="AT954" s="72"/>
      <c r="AU954" s="72"/>
      <c r="AV954" s="72"/>
      <c r="AW954" s="72"/>
      <c r="AX954" s="72"/>
      <c r="AY954" s="72"/>
      <c r="AZ954" s="72"/>
      <c r="BA954" s="72"/>
      <c r="BB954" s="72"/>
      <c r="BC954" s="72"/>
      <c r="BD954" s="72"/>
      <c r="BE954" s="72"/>
      <c r="BF954" s="72"/>
      <c r="BG954" s="72"/>
      <c r="BH954" s="72"/>
      <c r="BI954" s="72"/>
      <c r="BJ954" s="72"/>
      <c r="BK954" s="72"/>
      <c r="BL954" s="72"/>
      <c r="BM954" s="72"/>
      <c r="BN954" s="72"/>
      <c r="BO954" s="72"/>
      <c r="BP954" s="72"/>
      <c r="BQ954" s="72"/>
      <c r="BR954" s="72"/>
      <c r="BS954" s="72"/>
      <c r="BT954" s="72"/>
      <c r="BU954" s="72"/>
      <c r="BV954" s="72"/>
      <c r="BW954" s="72"/>
    </row>
    <row r="955" ht="21.0" customHeight="1">
      <c r="A955" s="12"/>
      <c r="B955" s="84"/>
      <c r="C955" s="83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  <c r="AQ955" s="72"/>
      <c r="AR955" s="72"/>
      <c r="AS955" s="72"/>
      <c r="AT955" s="72"/>
      <c r="AU955" s="72"/>
      <c r="AV955" s="72"/>
      <c r="AW955" s="72"/>
      <c r="AX955" s="72"/>
      <c r="AY955" s="72"/>
      <c r="AZ955" s="72"/>
      <c r="BA955" s="72"/>
      <c r="BB955" s="72"/>
      <c r="BC955" s="72"/>
      <c r="BD955" s="72"/>
      <c r="BE955" s="72"/>
      <c r="BF955" s="72"/>
      <c r="BG955" s="72"/>
      <c r="BH955" s="72"/>
      <c r="BI955" s="72"/>
      <c r="BJ955" s="72"/>
      <c r="BK955" s="72"/>
      <c r="BL955" s="72"/>
      <c r="BM955" s="72"/>
      <c r="BN955" s="72"/>
      <c r="BO955" s="72"/>
      <c r="BP955" s="72"/>
      <c r="BQ955" s="72"/>
      <c r="BR955" s="72"/>
      <c r="BS955" s="72"/>
      <c r="BT955" s="72"/>
      <c r="BU955" s="72"/>
      <c r="BV955" s="72"/>
      <c r="BW955" s="72"/>
    </row>
    <row r="956" ht="21.0" customHeight="1">
      <c r="A956" s="12"/>
      <c r="B956" s="84"/>
      <c r="C956" s="83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  <c r="AQ956" s="72"/>
      <c r="AR956" s="72"/>
      <c r="AS956" s="72"/>
      <c r="AT956" s="72"/>
      <c r="AU956" s="72"/>
      <c r="AV956" s="72"/>
      <c r="AW956" s="72"/>
      <c r="AX956" s="72"/>
      <c r="AY956" s="72"/>
      <c r="AZ956" s="72"/>
      <c r="BA956" s="72"/>
      <c r="BB956" s="72"/>
      <c r="BC956" s="72"/>
      <c r="BD956" s="72"/>
      <c r="BE956" s="72"/>
      <c r="BF956" s="72"/>
      <c r="BG956" s="72"/>
      <c r="BH956" s="72"/>
      <c r="BI956" s="72"/>
      <c r="BJ956" s="72"/>
      <c r="BK956" s="72"/>
      <c r="BL956" s="72"/>
      <c r="BM956" s="72"/>
      <c r="BN956" s="72"/>
      <c r="BO956" s="72"/>
      <c r="BP956" s="72"/>
      <c r="BQ956" s="72"/>
      <c r="BR956" s="72"/>
      <c r="BS956" s="72"/>
      <c r="BT956" s="72"/>
      <c r="BU956" s="72"/>
      <c r="BV956" s="72"/>
      <c r="BW956" s="72"/>
    </row>
    <row r="957" ht="21.0" customHeight="1">
      <c r="A957" s="12"/>
      <c r="B957" s="84"/>
      <c r="C957" s="83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  <c r="AQ957" s="72"/>
      <c r="AR957" s="72"/>
      <c r="AS957" s="72"/>
      <c r="AT957" s="72"/>
      <c r="AU957" s="72"/>
      <c r="AV957" s="72"/>
      <c r="AW957" s="72"/>
      <c r="AX957" s="72"/>
      <c r="AY957" s="72"/>
      <c r="AZ957" s="72"/>
      <c r="BA957" s="72"/>
      <c r="BB957" s="72"/>
      <c r="BC957" s="72"/>
      <c r="BD957" s="72"/>
      <c r="BE957" s="72"/>
      <c r="BF957" s="72"/>
      <c r="BG957" s="72"/>
      <c r="BH957" s="72"/>
      <c r="BI957" s="72"/>
      <c r="BJ957" s="72"/>
      <c r="BK957" s="72"/>
      <c r="BL957" s="72"/>
      <c r="BM957" s="72"/>
      <c r="BN957" s="72"/>
      <c r="BO957" s="72"/>
      <c r="BP957" s="72"/>
      <c r="BQ957" s="72"/>
      <c r="BR957" s="72"/>
      <c r="BS957" s="72"/>
      <c r="BT957" s="72"/>
      <c r="BU957" s="72"/>
      <c r="BV957" s="72"/>
      <c r="BW957" s="72"/>
    </row>
    <row r="958" ht="21.0" customHeight="1">
      <c r="A958" s="12"/>
      <c r="B958" s="84"/>
      <c r="C958" s="83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  <c r="AQ958" s="72"/>
      <c r="AR958" s="72"/>
      <c r="AS958" s="72"/>
      <c r="AT958" s="72"/>
      <c r="AU958" s="72"/>
      <c r="AV958" s="72"/>
      <c r="AW958" s="72"/>
      <c r="AX958" s="72"/>
      <c r="AY958" s="72"/>
      <c r="AZ958" s="72"/>
      <c r="BA958" s="72"/>
      <c r="BB958" s="72"/>
      <c r="BC958" s="72"/>
      <c r="BD958" s="72"/>
      <c r="BE958" s="72"/>
      <c r="BF958" s="72"/>
      <c r="BG958" s="72"/>
      <c r="BH958" s="72"/>
      <c r="BI958" s="72"/>
      <c r="BJ958" s="72"/>
      <c r="BK958" s="72"/>
      <c r="BL958" s="72"/>
      <c r="BM958" s="72"/>
      <c r="BN958" s="72"/>
      <c r="BO958" s="72"/>
      <c r="BP958" s="72"/>
      <c r="BQ958" s="72"/>
      <c r="BR958" s="72"/>
      <c r="BS958" s="72"/>
      <c r="BT958" s="72"/>
      <c r="BU958" s="72"/>
      <c r="BV958" s="72"/>
      <c r="BW958" s="72"/>
    </row>
  </sheetData>
  <conditionalFormatting sqref="C1:C2 C4:C8 C10:C11 C14:C15 B17:C18 B20 C20:C54 B56:C58 B60:C61 B63:B64 C63:C107 B66:B70 B72:B74 B76:B79 C110:C118 C121:C425 B236 B393:B399 C427:C437 C440 C443:C445 C448 C450:C588 B473 B476 B481 B484 B487 B504 B508 B552 B556 C590:C603 C606:C723 B677:B678 B681 B684:B685 B687:B701 B712:B723 B725 C725:C745 B734:B736 B738:B739 B741:B742 C747:C749 C751:C752 C754:C958">
    <cfRule type="cellIs" dxfId="0" priority="1" operator="equal">
      <formula>0</formula>
    </cfRule>
  </conditionalFormatting>
  <conditionalFormatting sqref="C1:C2 C4:C8 C10:C11 C14:C15 B17:C18 B20 C20:C54 B56:C58 B60:C61 B63:B64 C63:C107 B66:B70 B72:B74 B76:B79 C110:C118 C121:C425 B236 B393:B399 C427:C437 C440 C443:C445 C448 C450:C588 B473 B476 B481 B484 B487 B504 B508 B552 B556 C590:C603 C606:C723 B677:B678 B681 B684:B685 B687:B701 B712:B723 B725 C725:C745 B734:B736 B738:B739 B741:B742 C747:C749 C751:C752 C754:C958">
    <cfRule type="cellIs" dxfId="0" priority="2" operator="equal">
      <formula>0</formula>
    </cfRule>
  </conditionalFormatting>
  <conditionalFormatting sqref="B6 C6:C7 B9:B413 C9:C425 D92 B427 C427:C437 B439:C440 B442:B444 C442:C445 B447 C447:C448 B450 C450:C603 B470:B473 B476 B481 B484 B487 B490 B493:B506 B508:B602 B605:B723 C606:C723 B725:C884">
    <cfRule type="colorScale" priority="3">
      <colorScale>
        <cfvo type="min"/>
        <cfvo type="max"/>
        <color rgb="FFFFFFFF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3.44" defaultRowHeight="15.0"/>
  <cols>
    <col customWidth="1" min="1" max="1" width="15.33"/>
  </cols>
  <sheetData>
    <row r="1" ht="30.75" customHeight="1">
      <c r="A1" s="85" t="s">
        <v>806</v>
      </c>
    </row>
    <row r="2">
      <c r="A2" s="86" t="s">
        <v>3</v>
      </c>
      <c r="B2" s="87" t="s">
        <v>807</v>
      </c>
    </row>
    <row r="3">
      <c r="A3" s="88" t="s">
        <v>11</v>
      </c>
      <c r="B3" s="89">
        <v>5.0</v>
      </c>
    </row>
    <row r="4">
      <c r="A4" s="88" t="s">
        <v>44</v>
      </c>
      <c r="B4" s="89">
        <v>41.0</v>
      </c>
    </row>
    <row r="5">
      <c r="A5" s="88" t="s">
        <v>24</v>
      </c>
      <c r="B5" s="89">
        <v>114.0</v>
      </c>
    </row>
    <row r="6">
      <c r="A6" s="88" t="s">
        <v>26</v>
      </c>
      <c r="B6" s="89">
        <v>54.0</v>
      </c>
    </row>
    <row r="7">
      <c r="A7" s="88" t="s">
        <v>30</v>
      </c>
      <c r="B7" s="89">
        <v>97.0</v>
      </c>
    </row>
    <row r="8">
      <c r="A8" s="88" t="s">
        <v>48</v>
      </c>
      <c r="B8" s="89">
        <v>53.0</v>
      </c>
    </row>
    <row r="9">
      <c r="A9" s="88" t="s">
        <v>51</v>
      </c>
      <c r="B9" s="89">
        <v>23.0</v>
      </c>
    </row>
    <row r="10">
      <c r="A10" s="88" t="s">
        <v>33</v>
      </c>
      <c r="B10" s="89">
        <v>85.0</v>
      </c>
    </row>
    <row r="11">
      <c r="A11" s="88" t="s">
        <v>58</v>
      </c>
      <c r="B11" s="89">
        <v>202.0</v>
      </c>
    </row>
    <row r="12">
      <c r="A12" s="88" t="s">
        <v>68</v>
      </c>
      <c r="B12" s="89">
        <v>37.0</v>
      </c>
    </row>
    <row r="13">
      <c r="A13" s="88" t="s">
        <v>72</v>
      </c>
      <c r="B13" s="89">
        <v>36.0</v>
      </c>
    </row>
    <row r="14">
      <c r="A14" s="88" t="s">
        <v>79</v>
      </c>
      <c r="B14" s="89">
        <v>209.0</v>
      </c>
    </row>
    <row r="15">
      <c r="A15" s="88" t="s">
        <v>80</v>
      </c>
      <c r="B15" s="89">
        <v>118.0</v>
      </c>
    </row>
    <row r="16">
      <c r="A16" s="88" t="s">
        <v>76</v>
      </c>
      <c r="B16" s="89">
        <v>207.0</v>
      </c>
    </row>
    <row r="17">
      <c r="A17" s="88" t="s">
        <v>77</v>
      </c>
      <c r="B17" s="89">
        <v>38.0</v>
      </c>
    </row>
    <row r="18">
      <c r="A18" s="88" t="s">
        <v>92</v>
      </c>
      <c r="B18" s="89">
        <v>343.0</v>
      </c>
    </row>
    <row r="19">
      <c r="A19" s="88" t="s">
        <v>102</v>
      </c>
      <c r="B19" s="89">
        <v>2479.0</v>
      </c>
    </row>
    <row r="20">
      <c r="A20" s="88" t="s">
        <v>103</v>
      </c>
      <c r="B20" s="89">
        <v>497.0</v>
      </c>
    </row>
    <row r="21">
      <c r="A21" s="88" t="s">
        <v>108</v>
      </c>
      <c r="B21" s="89">
        <v>299.0</v>
      </c>
    </row>
    <row r="22">
      <c r="A22" s="88" t="s">
        <v>117</v>
      </c>
      <c r="B22" s="89">
        <v>1025.0</v>
      </c>
    </row>
    <row r="23">
      <c r="A23" s="88" t="s">
        <v>126</v>
      </c>
      <c r="B23" s="89">
        <v>119.0</v>
      </c>
    </row>
    <row r="24">
      <c r="A24" s="88" t="s">
        <v>127</v>
      </c>
      <c r="B24" s="89" t="s">
        <v>808</v>
      </c>
    </row>
    <row r="25">
      <c r="A25" s="88" t="s">
        <v>119</v>
      </c>
      <c r="B25" s="89">
        <v>308.0</v>
      </c>
    </row>
    <row r="26">
      <c r="A26" s="88" t="s">
        <v>114</v>
      </c>
      <c r="B26" s="89">
        <v>206.0</v>
      </c>
    </row>
    <row r="27">
      <c r="A27" s="88" t="s">
        <v>130</v>
      </c>
      <c r="B27" s="89">
        <v>38.0</v>
      </c>
    </row>
    <row r="28">
      <c r="A28" s="88" t="s">
        <v>139</v>
      </c>
      <c r="B28" s="89">
        <v>153.0</v>
      </c>
    </row>
    <row r="29">
      <c r="A29" s="88" t="s">
        <v>135</v>
      </c>
      <c r="B29" s="89">
        <v>8.0</v>
      </c>
    </row>
    <row r="30">
      <c r="A30" s="88" t="s">
        <v>156</v>
      </c>
      <c r="B30" s="89">
        <v>24.0</v>
      </c>
    </row>
    <row r="31">
      <c r="A31" s="88" t="s">
        <v>158</v>
      </c>
      <c r="B31" s="89">
        <v>143.0</v>
      </c>
    </row>
    <row r="32">
      <c r="A32" s="88" t="s">
        <v>143</v>
      </c>
      <c r="B32" s="89">
        <v>121.0</v>
      </c>
    </row>
    <row r="33">
      <c r="A33" s="88" t="s">
        <v>145</v>
      </c>
      <c r="B33" s="89">
        <v>122.0</v>
      </c>
    </row>
    <row r="34">
      <c r="A34" s="88" t="s">
        <v>147</v>
      </c>
      <c r="B34" s="89">
        <v>54.0</v>
      </c>
    </row>
    <row r="35">
      <c r="A35" s="88" t="s">
        <v>149</v>
      </c>
      <c r="B35" s="89">
        <v>57.0</v>
      </c>
    </row>
    <row r="36">
      <c r="A36" s="88" t="s">
        <v>150</v>
      </c>
      <c r="B36" s="89">
        <v>382.0</v>
      </c>
    </row>
    <row r="37">
      <c r="A37" s="88" t="s">
        <v>146</v>
      </c>
      <c r="B37" s="89">
        <v>155.0</v>
      </c>
    </row>
    <row r="38">
      <c r="A38" s="88" t="s">
        <v>152</v>
      </c>
      <c r="B38" s="89">
        <v>34.0</v>
      </c>
    </row>
    <row r="39">
      <c r="A39" s="88" t="s">
        <v>154</v>
      </c>
      <c r="B39" s="89" t="s">
        <v>808</v>
      </c>
    </row>
    <row r="40">
      <c r="A40" s="88" t="s">
        <v>151</v>
      </c>
      <c r="B40" s="89">
        <v>72.0</v>
      </c>
    </row>
    <row r="41">
      <c r="A41" s="88" t="s">
        <v>172</v>
      </c>
      <c r="B41" s="89">
        <v>32.0</v>
      </c>
    </row>
    <row r="42">
      <c r="A42" s="88" t="s">
        <v>177</v>
      </c>
      <c r="B42" s="89">
        <v>133.0</v>
      </c>
    </row>
    <row r="43">
      <c r="A43" s="88" t="s">
        <v>184</v>
      </c>
      <c r="B43" s="89">
        <v>15.0</v>
      </c>
    </row>
    <row r="44">
      <c r="A44" s="88" t="s">
        <v>187</v>
      </c>
      <c r="B44" s="89">
        <v>24.0</v>
      </c>
    </row>
    <row r="45">
      <c r="A45" s="88" t="s">
        <v>180</v>
      </c>
      <c r="B45" s="89">
        <v>57.0</v>
      </c>
    </row>
    <row r="46">
      <c r="A46" s="88" t="s">
        <v>182</v>
      </c>
      <c r="B46" s="89">
        <v>1.0</v>
      </c>
    </row>
    <row r="47">
      <c r="A47" s="88" t="s">
        <v>204</v>
      </c>
      <c r="B47" s="89">
        <v>106.0</v>
      </c>
    </row>
    <row r="48">
      <c r="A48" s="88" t="s">
        <v>205</v>
      </c>
      <c r="B48" s="89">
        <v>146.0</v>
      </c>
    </row>
    <row r="49">
      <c r="A49" s="88" t="s">
        <v>212</v>
      </c>
      <c r="B49" s="89">
        <v>58.0</v>
      </c>
    </row>
    <row r="50">
      <c r="A50" s="88" t="s">
        <v>216</v>
      </c>
      <c r="B50" s="89">
        <v>88.0</v>
      </c>
    </row>
    <row r="51">
      <c r="A51" s="88" t="s">
        <v>217</v>
      </c>
      <c r="B51" s="89">
        <v>112.0</v>
      </c>
    </row>
    <row r="52">
      <c r="A52" s="88" t="s">
        <v>219</v>
      </c>
      <c r="B52" s="89">
        <v>2.0</v>
      </c>
    </row>
    <row r="53">
      <c r="A53" s="88" t="s">
        <v>220</v>
      </c>
      <c r="B53" s="89">
        <v>94.0</v>
      </c>
    </row>
    <row r="54">
      <c r="A54" s="88" t="s">
        <v>224</v>
      </c>
      <c r="B54" s="89">
        <v>34.0</v>
      </c>
    </row>
    <row r="55">
      <c r="A55" s="88" t="s">
        <v>225</v>
      </c>
      <c r="B55" s="89">
        <v>47.0</v>
      </c>
    </row>
    <row r="56">
      <c r="A56" s="88" t="s">
        <v>223</v>
      </c>
      <c r="B56" s="89">
        <v>219.0</v>
      </c>
    </row>
    <row r="57">
      <c r="A57" s="88" t="s">
        <v>240</v>
      </c>
      <c r="B57" s="89">
        <v>473.0</v>
      </c>
    </row>
    <row r="58">
      <c r="A58" s="88" t="s">
        <v>252</v>
      </c>
      <c r="B58" s="89">
        <v>569.0</v>
      </c>
    </row>
    <row r="59">
      <c r="A59" s="88" t="s">
        <v>254</v>
      </c>
      <c r="B59" s="89">
        <v>278.0</v>
      </c>
    </row>
    <row r="60">
      <c r="A60" s="88" t="s">
        <v>261</v>
      </c>
      <c r="B60" s="89">
        <v>570.0</v>
      </c>
    </row>
    <row r="61">
      <c r="A61" s="88" t="s">
        <v>263</v>
      </c>
      <c r="B61" s="89">
        <v>197.0</v>
      </c>
    </row>
    <row r="62">
      <c r="A62" s="88" t="s">
        <v>272</v>
      </c>
      <c r="B62" s="89">
        <v>146.0</v>
      </c>
    </row>
    <row r="63">
      <c r="A63" s="88" t="s">
        <v>273</v>
      </c>
      <c r="B63" s="89">
        <v>320.0</v>
      </c>
    </row>
    <row r="64">
      <c r="A64" s="88" t="s">
        <v>276</v>
      </c>
      <c r="B64" s="89">
        <v>114.0</v>
      </c>
    </row>
    <row r="65">
      <c r="A65" s="88" t="s">
        <v>277</v>
      </c>
      <c r="B65" s="89">
        <v>34.0</v>
      </c>
    </row>
    <row r="66">
      <c r="A66" s="88" t="s">
        <v>278</v>
      </c>
      <c r="B66" s="89">
        <v>186.0</v>
      </c>
    </row>
    <row r="67">
      <c r="A67" s="88" t="s">
        <v>279</v>
      </c>
      <c r="B67" s="89">
        <v>148.0</v>
      </c>
    </row>
    <row r="68">
      <c r="A68" s="88" t="s">
        <v>282</v>
      </c>
      <c r="B68" s="89">
        <v>265.0</v>
      </c>
    </row>
    <row r="69">
      <c r="A69" s="88" t="s">
        <v>286</v>
      </c>
      <c r="B69" s="89">
        <v>31.0</v>
      </c>
    </row>
    <row r="70">
      <c r="A70" s="88" t="s">
        <v>309</v>
      </c>
      <c r="B70" s="89">
        <v>749.0</v>
      </c>
    </row>
    <row r="71">
      <c r="A71" s="88" t="s">
        <v>311</v>
      </c>
      <c r="B71" s="89">
        <v>992.0</v>
      </c>
    </row>
    <row r="72">
      <c r="A72" s="88" t="s">
        <v>313</v>
      </c>
      <c r="B72" s="89">
        <v>128.0</v>
      </c>
    </row>
    <row r="73">
      <c r="A73" s="88" t="s">
        <v>308</v>
      </c>
      <c r="B73" s="89">
        <v>53.0</v>
      </c>
    </row>
    <row r="74">
      <c r="A74" s="88" t="s">
        <v>320</v>
      </c>
      <c r="B74" s="89">
        <v>826.0</v>
      </c>
    </row>
    <row r="75">
      <c r="A75" s="88" t="s">
        <v>321</v>
      </c>
      <c r="B75" s="89">
        <v>4.0</v>
      </c>
    </row>
    <row r="76">
      <c r="A76" s="88" t="s">
        <v>322</v>
      </c>
      <c r="B76" s="89">
        <v>634.0</v>
      </c>
    </row>
    <row r="77">
      <c r="A77" s="88" t="s">
        <v>323</v>
      </c>
      <c r="B77" s="89">
        <v>14.0</v>
      </c>
    </row>
    <row r="78">
      <c r="A78" s="88" t="s">
        <v>324</v>
      </c>
      <c r="B78" s="89">
        <v>187.0</v>
      </c>
    </row>
    <row r="79">
      <c r="A79" s="88" t="s">
        <v>317</v>
      </c>
      <c r="B79" s="89">
        <v>448.0</v>
      </c>
    </row>
    <row r="80">
      <c r="A80" s="88" t="s">
        <v>327</v>
      </c>
      <c r="B80" s="89">
        <v>244.0</v>
      </c>
    </row>
    <row r="81">
      <c r="A81" s="88" t="s">
        <v>329</v>
      </c>
      <c r="B81" s="89">
        <v>120.0</v>
      </c>
    </row>
    <row r="82">
      <c r="A82" s="88" t="s">
        <v>330</v>
      </c>
      <c r="B82" s="89">
        <v>63.0</v>
      </c>
    </row>
    <row r="83">
      <c r="A83" s="88" t="s">
        <v>331</v>
      </c>
      <c r="B83" s="89">
        <v>36.0</v>
      </c>
    </row>
    <row r="84">
      <c r="A84" s="88" t="s">
        <v>326</v>
      </c>
      <c r="B84" s="89">
        <v>3.0</v>
      </c>
    </row>
    <row r="85">
      <c r="A85" s="88" t="s">
        <v>333</v>
      </c>
      <c r="B85" s="90">
        <v>9.0</v>
      </c>
    </row>
    <row r="86">
      <c r="A86" s="88" t="s">
        <v>336</v>
      </c>
      <c r="B86" s="89">
        <v>452.0</v>
      </c>
    </row>
    <row r="87">
      <c r="A87" s="88" t="s">
        <v>338</v>
      </c>
      <c r="B87" s="90">
        <v>766.0</v>
      </c>
    </row>
    <row r="88">
      <c r="A88" s="88" t="s">
        <v>332</v>
      </c>
      <c r="B88" s="89">
        <v>19.0</v>
      </c>
    </row>
    <row r="89">
      <c r="A89" s="88" t="s">
        <v>343</v>
      </c>
      <c r="B89" s="89">
        <v>19.0</v>
      </c>
    </row>
    <row r="90">
      <c r="A90" s="88" t="s">
        <v>289</v>
      </c>
      <c r="B90" s="89">
        <v>593.0</v>
      </c>
    </row>
    <row r="91">
      <c r="A91" s="88" t="s">
        <v>290</v>
      </c>
      <c r="B91" s="89">
        <v>175.0</v>
      </c>
    </row>
    <row r="92">
      <c r="A92" s="88" t="s">
        <v>291</v>
      </c>
      <c r="B92" s="89">
        <v>579.0</v>
      </c>
    </row>
    <row r="93">
      <c r="A93" s="88" t="s">
        <v>288</v>
      </c>
      <c r="B93" s="89">
        <v>146.0</v>
      </c>
    </row>
    <row r="94">
      <c r="A94" s="88" t="s">
        <v>339</v>
      </c>
      <c r="B94" s="89" t="s">
        <v>808</v>
      </c>
    </row>
    <row r="95">
      <c r="A95" s="88" t="s">
        <v>341</v>
      </c>
      <c r="B95" s="89">
        <v>89.0</v>
      </c>
    </row>
    <row r="96">
      <c r="A96" s="88" t="s">
        <v>296</v>
      </c>
      <c r="B96" s="89">
        <v>451.0</v>
      </c>
    </row>
    <row r="97">
      <c r="A97" s="88" t="s">
        <v>298</v>
      </c>
      <c r="B97" s="89">
        <v>1749.0</v>
      </c>
    </row>
    <row r="98">
      <c r="A98" s="88" t="s">
        <v>295</v>
      </c>
      <c r="B98" s="89">
        <v>1.0</v>
      </c>
    </row>
    <row r="99">
      <c r="A99" s="88" t="s">
        <v>344</v>
      </c>
      <c r="B99" s="89">
        <v>76.0</v>
      </c>
    </row>
    <row r="100">
      <c r="A100" s="88" t="s">
        <v>345</v>
      </c>
      <c r="B100" s="90">
        <v>1.0</v>
      </c>
    </row>
    <row r="101">
      <c r="A101" s="88" t="s">
        <v>348</v>
      </c>
      <c r="B101" s="89">
        <v>531.0</v>
      </c>
    </row>
    <row r="102">
      <c r="A102" s="88" t="s">
        <v>349</v>
      </c>
      <c r="B102" s="89">
        <v>171.0</v>
      </c>
    </row>
    <row r="103">
      <c r="A103" s="88" t="s">
        <v>350</v>
      </c>
      <c r="B103" s="89">
        <v>77.0</v>
      </c>
    </row>
    <row r="104">
      <c r="A104" s="88" t="s">
        <v>302</v>
      </c>
      <c r="B104" s="89">
        <v>29.0</v>
      </c>
    </row>
    <row r="105">
      <c r="A105" s="88" t="s">
        <v>306</v>
      </c>
      <c r="B105" s="89">
        <v>336.0</v>
      </c>
    </row>
    <row r="106">
      <c r="A106" s="88" t="s">
        <v>305</v>
      </c>
      <c r="B106" s="89" t="s">
        <v>808</v>
      </c>
    </row>
    <row r="107">
      <c r="A107" s="88" t="s">
        <v>301</v>
      </c>
      <c r="B107" s="89">
        <v>202.0</v>
      </c>
    </row>
    <row r="108">
      <c r="A108" s="88" t="s">
        <v>352</v>
      </c>
      <c r="B108" s="90">
        <v>10.0</v>
      </c>
    </row>
    <row r="109">
      <c r="A109" s="88" t="s">
        <v>382</v>
      </c>
      <c r="B109" s="89">
        <v>24.0</v>
      </c>
    </row>
    <row r="110">
      <c r="A110" s="88" t="s">
        <v>373</v>
      </c>
      <c r="B110" s="89">
        <v>107.0</v>
      </c>
    </row>
    <row r="111">
      <c r="A111" s="88" t="s">
        <v>359</v>
      </c>
      <c r="B111" s="89">
        <v>153.0</v>
      </c>
    </row>
    <row r="112">
      <c r="A112" s="88" t="s">
        <v>356</v>
      </c>
      <c r="B112" s="89">
        <v>102.0</v>
      </c>
    </row>
    <row r="113">
      <c r="A113" s="88" t="s">
        <v>361</v>
      </c>
      <c r="B113" s="89">
        <v>71.0</v>
      </c>
    </row>
    <row r="114">
      <c r="A114" s="88" t="s">
        <v>363</v>
      </c>
      <c r="B114" s="89">
        <v>190.0</v>
      </c>
    </row>
    <row r="115">
      <c r="A115" s="88" t="s">
        <v>360</v>
      </c>
      <c r="B115" s="89">
        <v>43.0</v>
      </c>
    </row>
    <row r="116">
      <c r="A116" s="88" t="s">
        <v>365</v>
      </c>
      <c r="B116" s="89">
        <v>213.0</v>
      </c>
    </row>
    <row r="117">
      <c r="A117" s="88" t="s">
        <v>366</v>
      </c>
      <c r="B117" s="89">
        <v>406.0</v>
      </c>
    </row>
    <row r="118">
      <c r="A118" s="88" t="s">
        <v>364</v>
      </c>
      <c r="B118" s="89">
        <v>13.0</v>
      </c>
    </row>
    <row r="119">
      <c r="A119" s="88" t="s">
        <v>368</v>
      </c>
      <c r="B119" s="89">
        <v>120.0</v>
      </c>
    </row>
    <row r="120">
      <c r="A120" s="88" t="s">
        <v>369</v>
      </c>
      <c r="B120" s="89">
        <v>77.0</v>
      </c>
    </row>
    <row r="121">
      <c r="A121" s="88" t="s">
        <v>370</v>
      </c>
      <c r="B121" s="89">
        <v>683.0</v>
      </c>
    </row>
    <row r="122">
      <c r="A122" s="88" t="s">
        <v>395</v>
      </c>
      <c r="B122" s="89">
        <v>71.0</v>
      </c>
    </row>
    <row r="123">
      <c r="A123" s="88" t="s">
        <v>396</v>
      </c>
      <c r="B123" s="89">
        <v>433.0</v>
      </c>
    </row>
    <row r="124">
      <c r="A124" s="88" t="s">
        <v>398</v>
      </c>
      <c r="B124" s="89">
        <v>444.0</v>
      </c>
    </row>
    <row r="125">
      <c r="A125" s="88" t="s">
        <v>399</v>
      </c>
      <c r="B125" s="89">
        <v>346.0</v>
      </c>
    </row>
    <row r="126">
      <c r="A126" s="88" t="s">
        <v>400</v>
      </c>
      <c r="B126" s="89">
        <v>220.0</v>
      </c>
    </row>
    <row r="127">
      <c r="A127" s="88" t="s">
        <v>401</v>
      </c>
      <c r="B127" s="89">
        <v>14.0</v>
      </c>
    </row>
    <row r="128">
      <c r="A128" s="88" t="s">
        <v>402</v>
      </c>
      <c r="B128" s="89">
        <v>41.0</v>
      </c>
    </row>
    <row r="129">
      <c r="A129" s="88" t="s">
        <v>403</v>
      </c>
      <c r="B129" s="89">
        <v>203.0</v>
      </c>
    </row>
    <row r="130">
      <c r="A130" s="88" t="s">
        <v>442</v>
      </c>
      <c r="B130" s="89">
        <v>10.0</v>
      </c>
    </row>
    <row r="131">
      <c r="A131" s="88" t="s">
        <v>438</v>
      </c>
      <c r="B131" s="89">
        <v>73.0</v>
      </c>
    </row>
    <row r="132">
      <c r="A132" s="88" t="s">
        <v>451</v>
      </c>
      <c r="B132" s="89">
        <v>8.0</v>
      </c>
    </row>
    <row r="133">
      <c r="A133" s="88" t="s">
        <v>452</v>
      </c>
      <c r="B133" s="89">
        <v>45.0</v>
      </c>
    </row>
    <row r="134">
      <c r="A134" s="88" t="s">
        <v>453</v>
      </c>
      <c r="B134" s="89">
        <v>12.0</v>
      </c>
    </row>
    <row r="135">
      <c r="A135" s="88" t="s">
        <v>454</v>
      </c>
      <c r="B135" s="89">
        <v>12.0</v>
      </c>
    </row>
    <row r="136">
      <c r="A136" s="88" t="s">
        <v>455</v>
      </c>
      <c r="B136" s="89" t="s">
        <v>808</v>
      </c>
    </row>
    <row r="137">
      <c r="A137" s="88" t="s">
        <v>456</v>
      </c>
      <c r="B137" s="89">
        <v>69.0</v>
      </c>
    </row>
    <row r="138">
      <c r="A138" s="88" t="s">
        <v>457</v>
      </c>
      <c r="B138" s="89">
        <v>27.0</v>
      </c>
    </row>
    <row r="139">
      <c r="A139" s="88" t="s">
        <v>483</v>
      </c>
      <c r="B139" s="89">
        <v>22.0</v>
      </c>
    </row>
    <row r="140">
      <c r="A140" s="88" t="s">
        <v>484</v>
      </c>
      <c r="B140" s="89">
        <v>122.0</v>
      </c>
    </row>
    <row r="141">
      <c r="A141" s="88" t="s">
        <v>488</v>
      </c>
      <c r="B141" s="89">
        <v>99.0</v>
      </c>
    </row>
    <row r="142">
      <c r="A142" s="88" t="s">
        <v>490</v>
      </c>
      <c r="B142" s="89">
        <v>127.0</v>
      </c>
    </row>
    <row r="143">
      <c r="A143" s="88" t="s">
        <v>492</v>
      </c>
      <c r="B143" s="89">
        <v>103.0</v>
      </c>
    </row>
    <row r="144">
      <c r="A144" s="88" t="s">
        <v>471</v>
      </c>
      <c r="B144" s="89">
        <v>125.0</v>
      </c>
    </row>
    <row r="145">
      <c r="A145" s="88" t="s">
        <v>472</v>
      </c>
      <c r="B145" s="89">
        <v>232.0</v>
      </c>
    </row>
    <row r="146">
      <c r="A146" s="88" t="s">
        <v>531</v>
      </c>
      <c r="B146" s="89">
        <v>60.0</v>
      </c>
    </row>
    <row r="147">
      <c r="A147" s="88" t="s">
        <v>534</v>
      </c>
      <c r="B147" s="89">
        <v>25.0</v>
      </c>
    </row>
    <row r="148">
      <c r="A148" s="88" t="s">
        <v>537</v>
      </c>
      <c r="B148" s="89">
        <v>402.0</v>
      </c>
    </row>
    <row r="149">
      <c r="A149" s="88" t="s">
        <v>511</v>
      </c>
      <c r="B149" s="89">
        <v>100.0</v>
      </c>
    </row>
    <row r="150">
      <c r="A150" s="88" t="s">
        <v>513</v>
      </c>
      <c r="B150" s="89">
        <v>255.0</v>
      </c>
    </row>
    <row r="151">
      <c r="A151" s="88" t="s">
        <v>515</v>
      </c>
      <c r="B151" s="89">
        <v>136.0</v>
      </c>
    </row>
    <row r="152">
      <c r="A152" s="88" t="s">
        <v>512</v>
      </c>
      <c r="B152" s="89" t="s">
        <v>808</v>
      </c>
    </row>
    <row r="153">
      <c r="A153" s="88" t="s">
        <v>516</v>
      </c>
      <c r="B153" s="89">
        <v>133.0</v>
      </c>
    </row>
    <row r="154">
      <c r="A154" s="88" t="s">
        <v>517</v>
      </c>
      <c r="B154" s="89">
        <v>165.0</v>
      </c>
    </row>
    <row r="155">
      <c r="A155" s="88" t="s">
        <v>519</v>
      </c>
      <c r="B155" s="89">
        <v>20.0</v>
      </c>
    </row>
    <row r="156">
      <c r="A156" s="88" t="s">
        <v>521</v>
      </c>
      <c r="B156" s="89">
        <v>94.0</v>
      </c>
    </row>
    <row r="157">
      <c r="A157" s="88" t="s">
        <v>522</v>
      </c>
      <c r="B157" s="89">
        <v>102.0</v>
      </c>
    </row>
    <row r="158">
      <c r="A158" s="88" t="s">
        <v>525</v>
      </c>
      <c r="B158" s="89">
        <v>8.0</v>
      </c>
    </row>
    <row r="159">
      <c r="A159" s="88" t="s">
        <v>527</v>
      </c>
      <c r="B159" s="89">
        <v>126.0</v>
      </c>
    </row>
    <row r="160">
      <c r="A160" s="88" t="s">
        <v>529</v>
      </c>
      <c r="B160" s="89">
        <v>72.0</v>
      </c>
    </row>
    <row r="161">
      <c r="A161" s="88" t="s">
        <v>530</v>
      </c>
      <c r="B161" s="89">
        <v>98.0</v>
      </c>
    </row>
    <row r="162">
      <c r="A162" s="88" t="s">
        <v>586</v>
      </c>
      <c r="B162" s="89">
        <v>16.0</v>
      </c>
    </row>
    <row r="163">
      <c r="A163" s="88" t="s">
        <v>588</v>
      </c>
      <c r="B163" s="89">
        <v>2.0</v>
      </c>
    </row>
    <row r="164">
      <c r="A164" s="88" t="s">
        <v>589</v>
      </c>
      <c r="B164" s="89">
        <v>9.0</v>
      </c>
    </row>
    <row r="165">
      <c r="A165" s="88" t="s">
        <v>590</v>
      </c>
      <c r="B165" s="89">
        <v>55.0</v>
      </c>
    </row>
    <row r="166">
      <c r="A166" s="88" t="s">
        <v>594</v>
      </c>
      <c r="B166" s="89">
        <v>19.0</v>
      </c>
    </row>
    <row r="167">
      <c r="A167" s="88" t="s">
        <v>595</v>
      </c>
      <c r="B167" s="89">
        <v>7.0</v>
      </c>
    </row>
    <row r="168">
      <c r="A168" s="88" t="s">
        <v>597</v>
      </c>
      <c r="B168" s="89">
        <v>4.0</v>
      </c>
    </row>
    <row r="169">
      <c r="A169" s="88" t="s">
        <v>559</v>
      </c>
      <c r="B169" s="89">
        <v>30.0</v>
      </c>
    </row>
    <row r="170">
      <c r="A170" s="88" t="s">
        <v>563</v>
      </c>
      <c r="B170" s="89">
        <v>288.0</v>
      </c>
    </row>
    <row r="171">
      <c r="A171" s="88" t="s">
        <v>591</v>
      </c>
      <c r="B171" s="89">
        <v>55.0</v>
      </c>
    </row>
    <row r="172">
      <c r="A172" s="88" t="s">
        <v>592</v>
      </c>
      <c r="B172" s="89">
        <v>23.0</v>
      </c>
    </row>
    <row r="173">
      <c r="A173" s="88" t="s">
        <v>593</v>
      </c>
      <c r="B173" s="89">
        <v>1.0</v>
      </c>
    </row>
    <row r="174">
      <c r="A174" s="88" t="s">
        <v>598</v>
      </c>
      <c r="B174" s="89">
        <v>9.0</v>
      </c>
    </row>
    <row r="175">
      <c r="A175" s="88" t="s">
        <v>599</v>
      </c>
      <c r="B175" s="89">
        <v>41.0</v>
      </c>
    </row>
    <row r="176">
      <c r="A176" s="88" t="s">
        <v>600</v>
      </c>
      <c r="B176" s="89">
        <v>10.0</v>
      </c>
    </row>
    <row r="177">
      <c r="A177" s="88" t="s">
        <v>564</v>
      </c>
      <c r="B177" s="89">
        <v>234.0</v>
      </c>
    </row>
    <row r="178">
      <c r="A178" s="88" t="s">
        <v>566</v>
      </c>
      <c r="B178" s="89">
        <v>39.0</v>
      </c>
    </row>
    <row r="179">
      <c r="A179" s="88" t="s">
        <v>567</v>
      </c>
      <c r="B179" s="89">
        <v>88.0</v>
      </c>
    </row>
    <row r="180">
      <c r="A180" s="88" t="s">
        <v>601</v>
      </c>
      <c r="B180" s="89">
        <v>16.0</v>
      </c>
    </row>
    <row r="181">
      <c r="A181" s="88" t="s">
        <v>602</v>
      </c>
      <c r="B181" s="89">
        <v>13.0</v>
      </c>
    </row>
    <row r="182">
      <c r="A182" s="88" t="s">
        <v>604</v>
      </c>
      <c r="B182" s="89">
        <v>12.0</v>
      </c>
    </row>
    <row r="183">
      <c r="A183" s="88" t="s">
        <v>605</v>
      </c>
      <c r="B183" s="89">
        <v>2.0</v>
      </c>
    </row>
    <row r="184">
      <c r="A184" s="88" t="s">
        <v>606</v>
      </c>
      <c r="B184" s="89">
        <v>4.0</v>
      </c>
    </row>
    <row r="185">
      <c r="A185" s="88" t="s">
        <v>570</v>
      </c>
      <c r="B185" s="89">
        <v>9.0</v>
      </c>
    </row>
    <row r="186">
      <c r="A186" s="88" t="s">
        <v>573</v>
      </c>
      <c r="B186" s="89">
        <v>193.0</v>
      </c>
    </row>
    <row r="187">
      <c r="A187" s="88" t="s">
        <v>574</v>
      </c>
      <c r="B187" s="89">
        <v>66.0</v>
      </c>
    </row>
    <row r="188">
      <c r="A188" s="88" t="s">
        <v>576</v>
      </c>
      <c r="B188" s="89">
        <v>49.0</v>
      </c>
    </row>
    <row r="189">
      <c r="A189" s="88" t="s">
        <v>577</v>
      </c>
      <c r="B189" s="89">
        <v>13.0</v>
      </c>
    </row>
    <row r="190">
      <c r="A190" s="88" t="s">
        <v>578</v>
      </c>
      <c r="B190" s="89">
        <v>166.0</v>
      </c>
    </row>
    <row r="191">
      <c r="A191" s="88" t="s">
        <v>579</v>
      </c>
      <c r="B191" s="89" t="s">
        <v>808</v>
      </c>
    </row>
    <row r="192">
      <c r="A192" s="88" t="s">
        <v>580</v>
      </c>
      <c r="B192" s="89">
        <v>57.0</v>
      </c>
    </row>
    <row r="193">
      <c r="A193" s="88" t="s">
        <v>556</v>
      </c>
      <c r="B193" s="89">
        <v>97.0</v>
      </c>
    </row>
    <row r="194">
      <c r="A194" s="88" t="s">
        <v>581</v>
      </c>
      <c r="B194" s="89">
        <v>197.0</v>
      </c>
    </row>
    <row r="195">
      <c r="A195" s="88" t="s">
        <v>583</v>
      </c>
      <c r="B195" s="89">
        <v>94.0</v>
      </c>
    </row>
    <row r="196">
      <c r="A196" s="88" t="s">
        <v>584</v>
      </c>
      <c r="B196" s="89">
        <v>142.0</v>
      </c>
    </row>
    <row r="197">
      <c r="A197" s="88" t="s">
        <v>585</v>
      </c>
      <c r="B197" s="89">
        <v>129.0</v>
      </c>
    </row>
    <row r="198">
      <c r="A198" s="88" t="s">
        <v>618</v>
      </c>
      <c r="B198" s="89">
        <v>5.0</v>
      </c>
    </row>
    <row r="199">
      <c r="A199" s="88" t="s">
        <v>619</v>
      </c>
      <c r="B199" s="89">
        <v>31.0</v>
      </c>
    </row>
    <row r="200">
      <c r="A200" s="88" t="s">
        <v>620</v>
      </c>
      <c r="B200" s="89">
        <v>156.0</v>
      </c>
    </row>
    <row r="201">
      <c r="A201" s="88" t="s">
        <v>610</v>
      </c>
      <c r="B201" s="89">
        <v>118.0</v>
      </c>
    </row>
    <row r="202">
      <c r="A202" s="88" t="s">
        <v>611</v>
      </c>
      <c r="B202" s="89">
        <v>48.0</v>
      </c>
    </row>
    <row r="203">
      <c r="A203" s="88" t="s">
        <v>612</v>
      </c>
      <c r="B203" s="89">
        <v>38.0</v>
      </c>
    </row>
    <row r="204">
      <c r="A204" s="88" t="s">
        <v>613</v>
      </c>
      <c r="B204" s="89">
        <v>18.0</v>
      </c>
    </row>
    <row r="205">
      <c r="A205" s="88" t="s">
        <v>614</v>
      </c>
      <c r="B205" s="89">
        <v>129.0</v>
      </c>
    </row>
    <row r="206">
      <c r="A206" s="88" t="s">
        <v>615</v>
      </c>
      <c r="B206" s="89">
        <v>21.0</v>
      </c>
    </row>
    <row r="207">
      <c r="A207" s="88" t="s">
        <v>616</v>
      </c>
      <c r="B207" s="89">
        <v>68.0</v>
      </c>
    </row>
    <row r="208">
      <c r="A208" s="88" t="s">
        <v>617</v>
      </c>
      <c r="B208" s="89">
        <v>98.0</v>
      </c>
    </row>
    <row r="209">
      <c r="A209" s="88" t="s">
        <v>655</v>
      </c>
      <c r="B209" s="89">
        <v>164.0</v>
      </c>
    </row>
    <row r="210">
      <c r="A210" s="88" t="s">
        <v>656</v>
      </c>
      <c r="B210" s="89">
        <v>59.0</v>
      </c>
    </row>
    <row r="211">
      <c r="A211" s="88" t="s">
        <v>657</v>
      </c>
      <c r="B211" s="89">
        <v>87.0</v>
      </c>
    </row>
    <row r="212">
      <c r="A212" s="88" t="s">
        <v>658</v>
      </c>
      <c r="B212" s="89">
        <v>160.0</v>
      </c>
    </row>
    <row r="213">
      <c r="A213" s="88" t="s">
        <v>659</v>
      </c>
      <c r="B213" s="89">
        <v>14.0</v>
      </c>
    </row>
    <row r="214">
      <c r="A214" s="88" t="s">
        <v>660</v>
      </c>
      <c r="B214" s="89">
        <v>242.0</v>
      </c>
    </row>
    <row r="215">
      <c r="A215" s="88" t="s">
        <v>653</v>
      </c>
      <c r="B215" s="89">
        <v>75.0</v>
      </c>
    </row>
    <row r="216">
      <c r="A216" s="88" t="s">
        <v>654</v>
      </c>
      <c r="B216" s="89" t="s">
        <v>808</v>
      </c>
    </row>
    <row r="217">
      <c r="A217" s="88" t="s">
        <v>662</v>
      </c>
      <c r="B217" s="89">
        <v>43.0</v>
      </c>
    </row>
    <row r="218">
      <c r="A218" s="88" t="s">
        <v>665</v>
      </c>
      <c r="B218" s="89">
        <v>33.0</v>
      </c>
    </row>
    <row r="219">
      <c r="A219" s="88" t="s">
        <v>666</v>
      </c>
      <c r="B219" s="89">
        <v>107.0</v>
      </c>
    </row>
    <row r="220">
      <c r="A220" s="88" t="s">
        <v>669</v>
      </c>
      <c r="B220" s="89">
        <v>63.0</v>
      </c>
    </row>
    <row r="221">
      <c r="A221" s="88" t="s">
        <v>670</v>
      </c>
      <c r="B221" s="89">
        <v>27.0</v>
      </c>
    </row>
    <row r="222">
      <c r="A222" s="88" t="s">
        <v>687</v>
      </c>
      <c r="B222" s="89" t="s">
        <v>808</v>
      </c>
    </row>
    <row r="223">
      <c r="A223" s="88" t="s">
        <v>688</v>
      </c>
      <c r="B223" s="89">
        <v>50.0</v>
      </c>
    </row>
    <row r="224">
      <c r="A224" s="88" t="s">
        <v>695</v>
      </c>
      <c r="B224" s="89">
        <v>19.0</v>
      </c>
    </row>
    <row r="225">
      <c r="A225" s="88" t="s">
        <v>697</v>
      </c>
      <c r="B225" s="89" t="s">
        <v>808</v>
      </c>
    </row>
    <row r="226">
      <c r="A226" s="88" t="s">
        <v>699</v>
      </c>
      <c r="B226" s="89">
        <v>61.0</v>
      </c>
    </row>
    <row r="227">
      <c r="A227" s="88" t="s">
        <v>715</v>
      </c>
      <c r="B227" s="89">
        <v>152.0</v>
      </c>
    </row>
    <row r="228">
      <c r="A228" s="88" t="s">
        <v>717</v>
      </c>
      <c r="B228" s="89">
        <v>30.0</v>
      </c>
    </row>
    <row r="229">
      <c r="A229" s="88" t="s">
        <v>719</v>
      </c>
      <c r="B229" s="89">
        <v>21.0</v>
      </c>
    </row>
    <row r="230">
      <c r="A230" s="88" t="s">
        <v>734</v>
      </c>
      <c r="B230" s="90">
        <v>34.0</v>
      </c>
    </row>
    <row r="231">
      <c r="A231" s="88" t="s">
        <v>735</v>
      </c>
      <c r="B231" s="90">
        <v>31.0</v>
      </c>
    </row>
    <row r="232">
      <c r="A232" s="88" t="s">
        <v>736</v>
      </c>
      <c r="B232" s="89">
        <v>44.0</v>
      </c>
    </row>
    <row r="233">
      <c r="A233" s="88" t="s">
        <v>737</v>
      </c>
      <c r="B233" s="89">
        <v>48.0</v>
      </c>
    </row>
    <row r="234">
      <c r="A234" s="88" t="s">
        <v>738</v>
      </c>
      <c r="B234" s="89">
        <v>44.0</v>
      </c>
    </row>
    <row r="235">
      <c r="A235" s="88" t="s">
        <v>739</v>
      </c>
      <c r="B235" s="89">
        <v>44.0</v>
      </c>
    </row>
    <row r="236">
      <c r="A236" s="88" t="s">
        <v>740</v>
      </c>
      <c r="B236" s="89">
        <v>48.0</v>
      </c>
    </row>
    <row r="237">
      <c r="A237" s="88" t="s">
        <v>741</v>
      </c>
      <c r="B237" s="89">
        <v>41.0</v>
      </c>
    </row>
    <row r="238">
      <c r="A238" s="88" t="s">
        <v>746</v>
      </c>
      <c r="B238" s="89">
        <v>2.0</v>
      </c>
    </row>
    <row r="239">
      <c r="A239" s="88" t="s">
        <v>747</v>
      </c>
      <c r="B239" s="90">
        <v>113.0</v>
      </c>
    </row>
    <row r="240">
      <c r="A240" s="88" t="s">
        <v>748</v>
      </c>
      <c r="B240" s="89">
        <v>24.0</v>
      </c>
    </row>
    <row r="241">
      <c r="A241" s="88" t="s">
        <v>749</v>
      </c>
      <c r="B241" s="89">
        <v>628.0</v>
      </c>
    </row>
    <row r="242">
      <c r="A242" s="88" t="s">
        <v>754</v>
      </c>
      <c r="B242" s="89">
        <v>2.0</v>
      </c>
    </row>
    <row r="243">
      <c r="A243" s="88" t="s">
        <v>755</v>
      </c>
      <c r="B243" s="90">
        <v>142.0</v>
      </c>
    </row>
    <row r="244">
      <c r="A244" s="88" t="s">
        <v>756</v>
      </c>
      <c r="B244" s="89">
        <v>14.0</v>
      </c>
    </row>
    <row r="245">
      <c r="A245" s="88" t="s">
        <v>757</v>
      </c>
      <c r="B245" s="89">
        <v>38.0</v>
      </c>
    </row>
    <row r="246">
      <c r="A246" s="88" t="s">
        <v>726</v>
      </c>
      <c r="B246" s="89">
        <v>43.0</v>
      </c>
    </row>
    <row r="247">
      <c r="A247" s="88" t="s">
        <v>727</v>
      </c>
      <c r="B247" s="89">
        <v>2.0</v>
      </c>
    </row>
    <row r="248">
      <c r="A248" s="88" t="s">
        <v>728</v>
      </c>
      <c r="B248" s="89">
        <v>38.0</v>
      </c>
    </row>
    <row r="249">
      <c r="A249" s="88" t="s">
        <v>729</v>
      </c>
      <c r="B249" s="89">
        <v>96.0</v>
      </c>
    </row>
    <row r="250">
      <c r="A250" s="88" t="s">
        <v>762</v>
      </c>
      <c r="B250" s="89">
        <v>36.0</v>
      </c>
    </row>
    <row r="251">
      <c r="A251" s="88" t="s">
        <v>763</v>
      </c>
      <c r="B251" s="89">
        <v>12.0</v>
      </c>
    </row>
    <row r="252">
      <c r="A252" s="88" t="s">
        <v>764</v>
      </c>
      <c r="B252" s="89">
        <v>13.0</v>
      </c>
    </row>
    <row r="253">
      <c r="A253" s="88" t="s">
        <v>555</v>
      </c>
      <c r="B253" s="89">
        <v>61.0</v>
      </c>
    </row>
    <row r="254">
      <c r="A254" s="88" t="s">
        <v>310</v>
      </c>
      <c r="B254" s="89">
        <v>81.0</v>
      </c>
    </row>
    <row r="255">
      <c r="A255" s="88" t="s">
        <v>89</v>
      </c>
      <c r="B255" s="89">
        <v>95.0</v>
      </c>
    </row>
    <row r="256">
      <c r="A256" s="88" t="s">
        <v>247</v>
      </c>
      <c r="B256" s="89">
        <v>149.0</v>
      </c>
    </row>
    <row r="257">
      <c r="A257" s="91" t="s">
        <v>436</v>
      </c>
      <c r="B257" s="89">
        <v>14.0</v>
      </c>
    </row>
    <row r="258">
      <c r="A258" s="92" t="s">
        <v>171</v>
      </c>
      <c r="B258" s="89">
        <v>68.0</v>
      </c>
    </row>
    <row r="259">
      <c r="A259" s="93" t="s">
        <v>41</v>
      </c>
      <c r="B259" s="89">
        <v>46.0</v>
      </c>
    </row>
    <row r="260">
      <c r="A260" s="93" t="s">
        <v>42</v>
      </c>
      <c r="B260" s="89">
        <v>21.0</v>
      </c>
    </row>
    <row r="261">
      <c r="A261" s="93" t="s">
        <v>31</v>
      </c>
      <c r="B261" s="89" t="s">
        <v>808</v>
      </c>
    </row>
    <row r="262">
      <c r="A262" s="93" t="s">
        <v>83</v>
      </c>
      <c r="B262" s="89">
        <v>7.0</v>
      </c>
    </row>
    <row r="263">
      <c r="A263" s="93" t="s">
        <v>84</v>
      </c>
      <c r="B263" s="89">
        <v>25.0</v>
      </c>
    </row>
    <row r="264">
      <c r="A264" s="93" t="s">
        <v>88</v>
      </c>
      <c r="B264" s="89">
        <v>22.0</v>
      </c>
    </row>
    <row r="265">
      <c r="A265" s="93" t="s">
        <v>174</v>
      </c>
      <c r="B265" s="89">
        <v>104.0</v>
      </c>
    </row>
    <row r="266">
      <c r="A266" s="93" t="s">
        <v>337</v>
      </c>
      <c r="B266" s="89">
        <v>310.0</v>
      </c>
    </row>
    <row r="267">
      <c r="A267" s="93" t="s">
        <v>357</v>
      </c>
      <c r="B267" s="89">
        <v>257.0</v>
      </c>
    </row>
    <row r="268">
      <c r="A268" s="93" t="s">
        <v>520</v>
      </c>
      <c r="B268" s="89">
        <v>132.0</v>
      </c>
    </row>
    <row r="269">
      <c r="A269" s="93" t="s">
        <v>702</v>
      </c>
      <c r="B269" s="89">
        <v>48.0</v>
      </c>
    </row>
    <row r="270">
      <c r="A270" s="93" t="s">
        <v>292</v>
      </c>
      <c r="B270" s="89">
        <v>180.0</v>
      </c>
    </row>
    <row r="271">
      <c r="A271" s="93" t="s">
        <v>303</v>
      </c>
      <c r="B271" s="89">
        <v>134.0</v>
      </c>
    </row>
    <row r="272">
      <c r="A272" s="93" t="s">
        <v>378</v>
      </c>
      <c r="B272" s="89">
        <v>190.0</v>
      </c>
    </row>
    <row r="273">
      <c r="A273" s="93" t="s">
        <v>380</v>
      </c>
      <c r="B273" s="89">
        <v>134.0</v>
      </c>
    </row>
    <row r="274">
      <c r="A274" s="94" t="s">
        <v>622</v>
      </c>
      <c r="B274" s="89" t="s">
        <v>808</v>
      </c>
    </row>
    <row r="275">
      <c r="A275" s="94" t="s">
        <v>388</v>
      </c>
      <c r="B275" s="89">
        <v>168.0</v>
      </c>
    </row>
    <row r="276">
      <c r="A276" s="94" t="s">
        <v>389</v>
      </c>
      <c r="B276" s="89">
        <v>33.0</v>
      </c>
    </row>
    <row r="277">
      <c r="A277" s="94" t="s">
        <v>384</v>
      </c>
      <c r="B277" s="89">
        <v>8.0</v>
      </c>
    </row>
    <row r="278">
      <c r="A278" s="93" t="s">
        <v>710</v>
      </c>
      <c r="B278" s="89">
        <v>77.0</v>
      </c>
    </row>
    <row r="279">
      <c r="A279" s="93" t="s">
        <v>712</v>
      </c>
      <c r="B279" s="89">
        <v>257.0</v>
      </c>
    </row>
    <row r="280">
      <c r="A280" s="93" t="s">
        <v>351</v>
      </c>
      <c r="B280" s="89">
        <v>13.0</v>
      </c>
    </row>
    <row r="281">
      <c r="A281" s="93" t="s">
        <v>679</v>
      </c>
      <c r="B281" s="89">
        <v>14.0</v>
      </c>
    </row>
    <row r="282">
      <c r="A282" s="93" t="s">
        <v>667</v>
      </c>
      <c r="B282" s="89">
        <v>40.0</v>
      </c>
    </row>
    <row r="283">
      <c r="A283" s="93" t="s">
        <v>560</v>
      </c>
      <c r="B283" s="89" t="s">
        <v>808</v>
      </c>
    </row>
    <row r="284">
      <c r="A284" s="93" t="s">
        <v>14</v>
      </c>
      <c r="B284" s="89" t="s">
        <v>808</v>
      </c>
    </row>
    <row r="285">
      <c r="A285" s="93" t="s">
        <v>46</v>
      </c>
      <c r="B285" s="89">
        <v>55.0</v>
      </c>
    </row>
    <row r="286">
      <c r="A286" s="93" t="s">
        <v>109</v>
      </c>
      <c r="B286" s="89">
        <v>56.0</v>
      </c>
    </row>
    <row r="287">
      <c r="A287" s="93" t="s">
        <v>95</v>
      </c>
      <c r="B287" s="89">
        <v>18.0</v>
      </c>
    </row>
    <row r="288">
      <c r="A288" s="93" t="s">
        <v>123</v>
      </c>
      <c r="B288" s="89">
        <v>10.0</v>
      </c>
    </row>
    <row r="289">
      <c r="A289" s="93" t="s">
        <v>186</v>
      </c>
      <c r="B289" s="89">
        <v>33.0</v>
      </c>
    </row>
    <row r="290">
      <c r="A290" s="93" t="s">
        <v>215</v>
      </c>
      <c r="B290" s="89">
        <v>47.0</v>
      </c>
    </row>
    <row r="291">
      <c r="A291" s="93" t="s">
        <v>575</v>
      </c>
      <c r="B291" s="89">
        <v>32.0</v>
      </c>
    </row>
    <row r="292">
      <c r="A292" s="93" t="s">
        <v>705</v>
      </c>
      <c r="B292" s="89">
        <v>1.0</v>
      </c>
    </row>
    <row r="293">
      <c r="A293" s="93" t="s">
        <v>446</v>
      </c>
      <c r="B293" s="89" t="s">
        <v>808</v>
      </c>
    </row>
    <row r="294">
      <c r="A294" s="93" t="s">
        <v>464</v>
      </c>
      <c r="B294" s="89" t="s">
        <v>808</v>
      </c>
    </row>
    <row r="295">
      <c r="A295" s="93" t="s">
        <v>335</v>
      </c>
      <c r="B295" s="89" t="s">
        <v>808</v>
      </c>
    </row>
    <row r="296">
      <c r="A296" s="93" t="s">
        <v>550</v>
      </c>
      <c r="B296" s="89">
        <v>12.0</v>
      </c>
    </row>
    <row r="297">
      <c r="A297" s="93" t="s">
        <v>293</v>
      </c>
      <c r="B297" s="89">
        <v>118.0</v>
      </c>
    </row>
    <row r="298">
      <c r="A298" s="93" t="s">
        <v>299</v>
      </c>
      <c r="B298" s="89">
        <v>93.0</v>
      </c>
    </row>
    <row r="299">
      <c r="A299" s="93" t="s">
        <v>300</v>
      </c>
      <c r="B299" s="89">
        <v>116.0</v>
      </c>
    </row>
    <row r="300">
      <c r="A300" s="93" t="s">
        <v>304</v>
      </c>
      <c r="B300" s="89">
        <v>67.0</v>
      </c>
    </row>
    <row r="301">
      <c r="A301" s="93" t="s">
        <v>312</v>
      </c>
      <c r="B301" s="89">
        <v>456.0</v>
      </c>
    </row>
    <row r="302">
      <c r="A302" s="93" t="s">
        <v>315</v>
      </c>
      <c r="B302" s="89">
        <v>35.0</v>
      </c>
    </row>
    <row r="303">
      <c r="A303" s="93" t="s">
        <v>342</v>
      </c>
      <c r="B303" s="89">
        <v>29.0</v>
      </c>
    </row>
    <row r="304">
      <c r="A304" s="93" t="s">
        <v>397</v>
      </c>
      <c r="B304" s="89" t="s">
        <v>808</v>
      </c>
    </row>
    <row r="305">
      <c r="A305" s="93" t="s">
        <v>661</v>
      </c>
      <c r="B305" s="89" t="s">
        <v>808</v>
      </c>
    </row>
    <row r="306">
      <c r="A306" s="93" t="s">
        <v>663</v>
      </c>
      <c r="B306" s="89" t="s">
        <v>808</v>
      </c>
    </row>
    <row r="307">
      <c r="A307" s="93" t="s">
        <v>671</v>
      </c>
      <c r="B307" s="89" t="s">
        <v>808</v>
      </c>
    </row>
    <row r="308">
      <c r="A308" s="93" t="s">
        <v>155</v>
      </c>
      <c r="B308" s="89">
        <v>180.0</v>
      </c>
    </row>
    <row r="309">
      <c r="A309" s="93" t="s">
        <v>159</v>
      </c>
      <c r="B309" s="89">
        <v>141.0</v>
      </c>
    </row>
    <row r="310">
      <c r="A310" s="93" t="s">
        <v>268</v>
      </c>
      <c r="B310" s="89">
        <v>63.0</v>
      </c>
    </row>
    <row r="311">
      <c r="A311" s="93" t="s">
        <v>270</v>
      </c>
      <c r="B311" s="89">
        <v>84.0</v>
      </c>
    </row>
    <row r="312">
      <c r="A312" s="93" t="s">
        <v>281</v>
      </c>
      <c r="B312" s="89">
        <v>14.0</v>
      </c>
    </row>
    <row r="313">
      <c r="A313" s="93" t="s">
        <v>558</v>
      </c>
      <c r="B313" s="89">
        <v>46.0</v>
      </c>
    </row>
    <row r="314">
      <c r="A314" s="93" t="s">
        <v>113</v>
      </c>
      <c r="B314" s="89">
        <v>168.0</v>
      </c>
    </row>
    <row r="315">
      <c r="A315" s="93" t="s">
        <v>354</v>
      </c>
      <c r="B315" s="89">
        <v>30.0</v>
      </c>
    </row>
    <row r="316">
      <c r="A316" s="93" t="s">
        <v>50</v>
      </c>
      <c r="B316" s="89">
        <v>100.0</v>
      </c>
    </row>
    <row r="317">
      <c r="A317" s="93" t="s">
        <v>70</v>
      </c>
      <c r="B317" s="89">
        <v>21.0</v>
      </c>
    </row>
    <row r="318">
      <c r="A318" s="93" t="s">
        <v>250</v>
      </c>
      <c r="B318" s="89" t="s">
        <v>808</v>
      </c>
    </row>
    <row r="319">
      <c r="A319" s="93" t="s">
        <v>704</v>
      </c>
      <c r="B319" s="89">
        <v>35.0</v>
      </c>
    </row>
    <row r="320">
      <c r="A320" s="93" t="s">
        <v>69</v>
      </c>
      <c r="B320" s="89">
        <v>25.0</v>
      </c>
    </row>
    <row r="321">
      <c r="A321" s="93" t="s">
        <v>387</v>
      </c>
      <c r="B321" s="89">
        <v>2.0</v>
      </c>
    </row>
    <row r="322">
      <c r="A322" s="93" t="s">
        <v>459</v>
      </c>
      <c r="B322" s="89">
        <v>21.0</v>
      </c>
    </row>
    <row r="323">
      <c r="A323" s="93" t="s">
        <v>562</v>
      </c>
      <c r="B323" s="89">
        <v>3.0</v>
      </c>
    </row>
    <row r="324">
      <c r="A324" s="88" t="s">
        <v>115</v>
      </c>
      <c r="B324" s="89">
        <v>96.0</v>
      </c>
    </row>
    <row r="325">
      <c r="A325" s="88" t="s">
        <v>122</v>
      </c>
      <c r="B325" s="89">
        <v>94.0</v>
      </c>
    </row>
    <row r="326">
      <c r="A326" s="88" t="s">
        <v>157</v>
      </c>
      <c r="B326" s="89">
        <v>75.0</v>
      </c>
    </row>
    <row r="327">
      <c r="A327" s="88" t="s">
        <v>160</v>
      </c>
      <c r="B327" s="89">
        <v>221.0</v>
      </c>
    </row>
    <row r="328">
      <c r="A328" s="88" t="s">
        <v>161</v>
      </c>
      <c r="B328" s="89">
        <v>21.0</v>
      </c>
    </row>
    <row r="329">
      <c r="A329" s="88" t="s">
        <v>162</v>
      </c>
      <c r="B329" s="89">
        <v>108.0</v>
      </c>
    </row>
    <row r="330">
      <c r="A330" s="88" t="s">
        <v>163</v>
      </c>
      <c r="B330" s="89">
        <v>32.0</v>
      </c>
    </row>
    <row r="331">
      <c r="A331" s="88" t="s">
        <v>148</v>
      </c>
      <c r="B331" s="89">
        <v>131.0</v>
      </c>
    </row>
    <row r="332">
      <c r="A332" s="88" t="s">
        <v>153</v>
      </c>
      <c r="B332" s="89" t="s">
        <v>808</v>
      </c>
    </row>
    <row r="333">
      <c r="A333" s="88" t="s">
        <v>229</v>
      </c>
      <c r="B333" s="89" t="s">
        <v>808</v>
      </c>
    </row>
    <row r="334">
      <c r="A334" s="88" t="s">
        <v>243</v>
      </c>
      <c r="B334" s="89">
        <v>164.0</v>
      </c>
    </row>
    <row r="335">
      <c r="A335" s="88" t="s">
        <v>328</v>
      </c>
      <c r="B335" s="89">
        <v>37.0</v>
      </c>
    </row>
    <row r="336">
      <c r="A336" s="88" t="s">
        <v>340</v>
      </c>
      <c r="B336" s="89" t="s">
        <v>808</v>
      </c>
    </row>
    <row r="337">
      <c r="A337" s="88" t="s">
        <v>297</v>
      </c>
      <c r="B337" s="89">
        <v>188.0</v>
      </c>
    </row>
    <row r="338">
      <c r="A338" s="88" t="s">
        <v>347</v>
      </c>
      <c r="B338" s="89">
        <v>78.0</v>
      </c>
    </row>
    <row r="339">
      <c r="A339" s="88" t="s">
        <v>374</v>
      </c>
      <c r="B339" s="89">
        <v>31.0</v>
      </c>
    </row>
    <row r="340">
      <c r="A340" s="88" t="s">
        <v>358</v>
      </c>
      <c r="B340" s="89">
        <v>71.0</v>
      </c>
    </row>
    <row r="341">
      <c r="A341" s="88" t="s">
        <v>362</v>
      </c>
      <c r="B341" s="89">
        <v>23.0</v>
      </c>
    </row>
    <row r="342">
      <c r="A342" s="88" t="s">
        <v>367</v>
      </c>
      <c r="B342" s="89">
        <v>42.0</v>
      </c>
    </row>
    <row r="343">
      <c r="A343" s="88" t="s">
        <v>371</v>
      </c>
      <c r="B343" s="89">
        <v>48.0</v>
      </c>
    </row>
    <row r="344">
      <c r="A344" s="88" t="s">
        <v>487</v>
      </c>
      <c r="B344" s="89">
        <v>36.0</v>
      </c>
    </row>
    <row r="345">
      <c r="A345" s="88" t="s">
        <v>478</v>
      </c>
      <c r="B345" s="89">
        <v>16.0</v>
      </c>
    </row>
    <row r="346">
      <c r="A346" s="88" t="s">
        <v>480</v>
      </c>
      <c r="B346" s="89">
        <v>50.0</v>
      </c>
    </row>
    <row r="347">
      <c r="A347" s="88" t="s">
        <v>536</v>
      </c>
      <c r="B347" s="89">
        <v>47.0</v>
      </c>
    </row>
    <row r="348">
      <c r="A348" s="88" t="s">
        <v>535</v>
      </c>
      <c r="B348" s="89">
        <v>32.0</v>
      </c>
    </row>
    <row r="349">
      <c r="A349" s="88" t="s">
        <v>518</v>
      </c>
      <c r="B349" s="89">
        <v>187.0</v>
      </c>
    </row>
    <row r="350">
      <c r="A350" s="88" t="s">
        <v>696</v>
      </c>
      <c r="B350" s="89">
        <v>24.0</v>
      </c>
    </row>
    <row r="351">
      <c r="A351" s="88" t="s">
        <v>698</v>
      </c>
      <c r="B351" s="89">
        <v>8.0</v>
      </c>
    </row>
    <row r="352">
      <c r="A352" s="88" t="s">
        <v>700</v>
      </c>
      <c r="B352" s="89">
        <v>11.0</v>
      </c>
    </row>
    <row r="353">
      <c r="A353" s="88" t="s">
        <v>716</v>
      </c>
      <c r="B353" s="89">
        <v>20.0</v>
      </c>
    </row>
    <row r="354">
      <c r="A354" s="88" t="s">
        <v>718</v>
      </c>
      <c r="B354" s="89">
        <v>60.0</v>
      </c>
    </row>
    <row r="355">
      <c r="A355" s="88" t="s">
        <v>720</v>
      </c>
      <c r="B355" s="89">
        <v>7.0</v>
      </c>
    </row>
    <row r="356">
      <c r="A356" s="88" t="s">
        <v>713</v>
      </c>
      <c r="B356" s="89">
        <v>27.0</v>
      </c>
    </row>
    <row r="357">
      <c r="A357" s="93" t="s">
        <v>241</v>
      </c>
      <c r="B357" s="89">
        <v>158.0</v>
      </c>
    </row>
    <row r="358">
      <c r="A358" s="93" t="s">
        <v>234</v>
      </c>
      <c r="B358" s="89">
        <v>675.0</v>
      </c>
    </row>
    <row r="359">
      <c r="A359" s="93" t="s">
        <v>237</v>
      </c>
      <c r="B359" s="89">
        <v>3.0</v>
      </c>
    </row>
    <row r="360">
      <c r="A360" s="88" t="s">
        <v>238</v>
      </c>
      <c r="B360" s="89">
        <v>318.0</v>
      </c>
    </row>
    <row r="361">
      <c r="A361" s="93" t="s">
        <v>248</v>
      </c>
      <c r="B361" s="89" t="s">
        <v>808</v>
      </c>
    </row>
    <row r="362">
      <c r="A362" s="93" t="s">
        <v>245</v>
      </c>
      <c r="B362" s="89">
        <v>173.0</v>
      </c>
    </row>
    <row r="363">
      <c r="A363" s="93" t="s">
        <v>17</v>
      </c>
      <c r="B363" s="89">
        <v>88.0</v>
      </c>
    </row>
    <row r="364">
      <c r="A364" s="93" t="s">
        <v>18</v>
      </c>
      <c r="B364" s="89">
        <v>389.0</v>
      </c>
    </row>
    <row r="365">
      <c r="A365" s="93" t="s">
        <v>21</v>
      </c>
      <c r="B365" s="89">
        <v>129.0</v>
      </c>
    </row>
    <row r="366">
      <c r="A366" s="93" t="s">
        <v>508</v>
      </c>
      <c r="B366" s="89">
        <v>79.0</v>
      </c>
    </row>
    <row r="367">
      <c r="A367" s="93" t="s">
        <v>379</v>
      </c>
      <c r="B367" s="89">
        <v>289.0</v>
      </c>
    </row>
    <row r="368">
      <c r="A368" s="93" t="s">
        <v>376</v>
      </c>
      <c r="B368" s="89">
        <v>220.0</v>
      </c>
    </row>
    <row r="369">
      <c r="A369" s="93" t="s">
        <v>372</v>
      </c>
      <c r="B369" s="89">
        <v>76.0</v>
      </c>
    </row>
    <row r="370">
      <c r="A370" s="93" t="s">
        <v>173</v>
      </c>
      <c r="B370" s="89">
        <v>18.0</v>
      </c>
    </row>
    <row r="371">
      <c r="A371" s="93" t="s">
        <v>450</v>
      </c>
      <c r="B371" s="89">
        <v>46.0</v>
      </c>
    </row>
    <row r="372">
      <c r="A372" s="93" t="s">
        <v>526</v>
      </c>
      <c r="B372" s="89">
        <v>87.0</v>
      </c>
    </row>
    <row r="373">
      <c r="A373" s="93" t="s">
        <v>191</v>
      </c>
      <c r="B373" s="89">
        <v>18.0</v>
      </c>
    </row>
    <row r="374">
      <c r="A374" s="93" t="s">
        <v>221</v>
      </c>
      <c r="B374" s="89">
        <v>27.0</v>
      </c>
    </row>
    <row r="375">
      <c r="A375" s="93" t="s">
        <v>257</v>
      </c>
      <c r="B375" s="95">
        <v>1550.0</v>
      </c>
    </row>
    <row r="376">
      <c r="A376" s="93" t="s">
        <v>226</v>
      </c>
      <c r="B376" s="89">
        <v>19.0</v>
      </c>
    </row>
    <row r="377">
      <c r="A377" s="93" t="s">
        <v>449</v>
      </c>
      <c r="B377" s="89">
        <v>20.0</v>
      </c>
    </row>
    <row r="378">
      <c r="A378" s="93" t="s">
        <v>485</v>
      </c>
      <c r="B378" s="89">
        <v>132.0</v>
      </c>
    </row>
    <row r="379">
      <c r="A379" s="93" t="s">
        <v>544</v>
      </c>
      <c r="B379" s="89">
        <v>21.0</v>
      </c>
    </row>
    <row r="380">
      <c r="A380" s="93" t="s">
        <v>809</v>
      </c>
      <c r="B380" s="89" t="s">
        <v>808</v>
      </c>
    </row>
    <row r="381">
      <c r="A381" s="93" t="s">
        <v>714</v>
      </c>
      <c r="B381" s="89">
        <v>20.0</v>
      </c>
    </row>
    <row r="382">
      <c r="A382" s="93" t="s">
        <v>787</v>
      </c>
      <c r="B382" s="89">
        <v>45.0</v>
      </c>
    </row>
    <row r="383">
      <c r="A383" s="93" t="s">
        <v>269</v>
      </c>
      <c r="B383" s="89">
        <v>154.0</v>
      </c>
    </row>
    <row r="384">
      <c r="A384" s="93" t="s">
        <v>412</v>
      </c>
      <c r="B384" s="89">
        <v>1.0</v>
      </c>
    </row>
    <row r="385">
      <c r="A385" s="93" t="s">
        <v>181</v>
      </c>
      <c r="B385" s="89">
        <v>264.0</v>
      </c>
    </row>
    <row r="386">
      <c r="A386" s="93" t="s">
        <v>675</v>
      </c>
      <c r="B386" s="89" t="s">
        <v>808</v>
      </c>
    </row>
    <row r="387">
      <c r="A387" s="93" t="s">
        <v>641</v>
      </c>
      <c r="B387" s="89">
        <v>170.0</v>
      </c>
    </row>
    <row r="388">
      <c r="A388" s="93" t="s">
        <v>689</v>
      </c>
      <c r="B388" s="89" t="s">
        <v>808</v>
      </c>
    </row>
    <row r="389">
      <c r="A389" s="93" t="s">
        <v>251</v>
      </c>
      <c r="B389" s="89">
        <v>180.0</v>
      </c>
    </row>
    <row r="390">
      <c r="A390" s="93" t="s">
        <v>458</v>
      </c>
      <c r="B390" s="89">
        <v>97.0</v>
      </c>
    </row>
    <row r="391">
      <c r="A391" s="93" t="s">
        <v>235</v>
      </c>
      <c r="B391" s="89">
        <v>345.0</v>
      </c>
    </row>
    <row r="392">
      <c r="A392" s="93" t="s">
        <v>49</v>
      </c>
      <c r="B392" s="89">
        <v>10.0</v>
      </c>
    </row>
    <row r="393">
      <c r="A393" s="93" t="s">
        <v>45</v>
      </c>
      <c r="B393" s="89">
        <v>19.0</v>
      </c>
    </row>
    <row r="394">
      <c r="A394" s="93" t="s">
        <v>482</v>
      </c>
      <c r="B394" s="89">
        <v>154.0</v>
      </c>
    </row>
    <row r="395">
      <c r="A395" s="93" t="s">
        <v>491</v>
      </c>
      <c r="B395" s="89">
        <v>148.0</v>
      </c>
    </row>
    <row r="396">
      <c r="A396" s="93" t="s">
        <v>128</v>
      </c>
      <c r="B396" s="89">
        <v>51.0</v>
      </c>
    </row>
    <row r="397">
      <c r="A397" s="93" t="s">
        <v>12</v>
      </c>
      <c r="B397" s="89">
        <v>15.0</v>
      </c>
    </row>
    <row r="398">
      <c r="A398" s="93" t="s">
        <v>94</v>
      </c>
      <c r="B398" s="89">
        <v>12.0</v>
      </c>
    </row>
    <row r="399">
      <c r="A399" s="93" t="s">
        <v>144</v>
      </c>
      <c r="B399" s="89">
        <v>152.0</v>
      </c>
    </row>
    <row r="400">
      <c r="A400" s="93" t="s">
        <v>142</v>
      </c>
      <c r="B400" s="89">
        <v>105.0</v>
      </c>
    </row>
    <row r="401">
      <c r="A401" s="93" t="s">
        <v>316</v>
      </c>
      <c r="B401" s="89">
        <v>70.0</v>
      </c>
    </row>
    <row r="402">
      <c r="A402" s="93" t="s">
        <v>481</v>
      </c>
      <c r="B402" s="89">
        <v>61.0</v>
      </c>
    </row>
    <row r="403">
      <c r="A403" s="93" t="s">
        <v>768</v>
      </c>
      <c r="B403" s="89">
        <v>52.0</v>
      </c>
    </row>
    <row r="404">
      <c r="A404" s="93" t="s">
        <v>524</v>
      </c>
      <c r="B404" s="89">
        <v>35.0</v>
      </c>
    </row>
    <row r="405">
      <c r="A405" s="93" t="s">
        <v>409</v>
      </c>
      <c r="B405" s="89" t="s">
        <v>808</v>
      </c>
    </row>
    <row r="406">
      <c r="A406" s="93" t="s">
        <v>477</v>
      </c>
      <c r="B406" s="89">
        <v>454.0</v>
      </c>
    </row>
    <row r="407">
      <c r="A407" s="93" t="s">
        <v>231</v>
      </c>
      <c r="B407" s="89">
        <v>193.0</v>
      </c>
    </row>
    <row r="408">
      <c r="A408" s="93" t="s">
        <v>47</v>
      </c>
      <c r="B408" s="89">
        <v>34.0</v>
      </c>
    </row>
    <row r="409">
      <c r="A409" s="93" t="s">
        <v>32</v>
      </c>
      <c r="B409" s="89">
        <v>116.0</v>
      </c>
    </row>
    <row r="410">
      <c r="A410" s="93" t="s">
        <v>568</v>
      </c>
      <c r="B410" s="89">
        <v>39.0</v>
      </c>
    </row>
    <row r="411">
      <c r="A411" s="93" t="s">
        <v>572</v>
      </c>
      <c r="B411" s="89">
        <v>34.0</v>
      </c>
    </row>
    <row r="412">
      <c r="A412" s="93" t="s">
        <v>514</v>
      </c>
      <c r="B412" s="89">
        <v>176.0</v>
      </c>
    </row>
    <row r="413">
      <c r="A413" s="93" t="s">
        <v>199</v>
      </c>
      <c r="B413" s="89" t="s">
        <v>808</v>
      </c>
    </row>
    <row r="414">
      <c r="A414" s="93" t="s">
        <v>178</v>
      </c>
      <c r="B414" s="89" t="s">
        <v>808</v>
      </c>
    </row>
    <row r="415">
      <c r="A415" s="93" t="s">
        <v>188</v>
      </c>
      <c r="B415" s="89" t="s">
        <v>808</v>
      </c>
    </row>
    <row r="416">
      <c r="A416" s="93" t="s">
        <v>183</v>
      </c>
      <c r="B416" s="89" t="s">
        <v>808</v>
      </c>
    </row>
    <row r="417">
      <c r="A417" s="93" t="s">
        <v>554</v>
      </c>
      <c r="B417" s="89">
        <v>20.0</v>
      </c>
    </row>
    <row r="418">
      <c r="A418" s="93" t="s">
        <v>110</v>
      </c>
      <c r="B418" s="89">
        <v>58.0</v>
      </c>
    </row>
    <row r="419">
      <c r="A419" s="93" t="s">
        <v>112</v>
      </c>
      <c r="B419" s="89">
        <v>58.0</v>
      </c>
    </row>
    <row r="420">
      <c r="A420" s="93" t="s">
        <v>27</v>
      </c>
      <c r="B420" s="89">
        <v>81.0</v>
      </c>
    </row>
    <row r="421">
      <c r="A421" s="93" t="s">
        <v>34</v>
      </c>
      <c r="B421" s="89">
        <v>44.0</v>
      </c>
    </row>
    <row r="422">
      <c r="A422" s="93" t="s">
        <v>523</v>
      </c>
      <c r="B422" s="89">
        <v>57.0</v>
      </c>
    </row>
    <row r="423">
      <c r="A423" s="93" t="s">
        <v>775</v>
      </c>
      <c r="B423" s="89">
        <v>116.0</v>
      </c>
    </row>
    <row r="424">
      <c r="A424" s="93" t="s">
        <v>785</v>
      </c>
      <c r="B424" s="89">
        <v>69.0</v>
      </c>
    </row>
    <row r="425">
      <c r="A425" s="93" t="s">
        <v>474</v>
      </c>
      <c r="B425" s="89">
        <v>599.0</v>
      </c>
    </row>
    <row r="426">
      <c r="A426" s="93" t="s">
        <v>28</v>
      </c>
      <c r="B426" s="89">
        <v>87.0</v>
      </c>
    </row>
    <row r="427">
      <c r="A427" s="93" t="s">
        <v>75</v>
      </c>
      <c r="B427" s="89">
        <v>56.0</v>
      </c>
    </row>
    <row r="428">
      <c r="A428" s="93" t="s">
        <v>137</v>
      </c>
      <c r="B428" s="89">
        <v>6.0</v>
      </c>
    </row>
    <row r="429">
      <c r="A429" s="93" t="s">
        <v>603</v>
      </c>
      <c r="B429" s="89">
        <v>8.0</v>
      </c>
    </row>
    <row r="430">
      <c r="A430" s="93" t="s">
        <v>444</v>
      </c>
      <c r="B430" s="89">
        <v>60.0</v>
      </c>
    </row>
    <row r="431">
      <c r="A431" s="93" t="s">
        <v>20</v>
      </c>
      <c r="B431" s="89">
        <v>149.0</v>
      </c>
    </row>
    <row r="432">
      <c r="A432" s="93" t="s">
        <v>433</v>
      </c>
      <c r="B432" s="89">
        <v>45.0</v>
      </c>
    </row>
    <row r="433">
      <c r="A433" s="93" t="s">
        <v>434</v>
      </c>
      <c r="B433" s="89">
        <v>45.0</v>
      </c>
    </row>
    <row r="434">
      <c r="A434" s="93" t="s">
        <v>414</v>
      </c>
      <c r="B434" s="89">
        <v>33.0</v>
      </c>
    </row>
    <row r="435">
      <c r="A435" s="93" t="s">
        <v>415</v>
      </c>
      <c r="B435" s="89">
        <v>45.0</v>
      </c>
    </row>
    <row r="436">
      <c r="A436" s="93" t="s">
        <v>416</v>
      </c>
      <c r="B436" s="89">
        <v>26.0</v>
      </c>
    </row>
    <row r="437">
      <c r="A437" s="93" t="s">
        <v>417</v>
      </c>
      <c r="B437" s="89">
        <v>30.0</v>
      </c>
    </row>
    <row r="438">
      <c r="A438" s="93" t="s">
        <v>420</v>
      </c>
      <c r="B438" s="89">
        <v>16.0</v>
      </c>
    </row>
    <row r="439">
      <c r="A439" s="93" t="s">
        <v>421</v>
      </c>
      <c r="B439" s="89">
        <v>24.0</v>
      </c>
    </row>
    <row r="440">
      <c r="A440" s="93" t="s">
        <v>425</v>
      </c>
      <c r="B440" s="89">
        <v>16.0</v>
      </c>
    </row>
    <row r="441">
      <c r="A441" s="93" t="s">
        <v>426</v>
      </c>
      <c r="B441" s="89">
        <v>9.0</v>
      </c>
    </row>
    <row r="442">
      <c r="A442" s="93" t="s">
        <v>427</v>
      </c>
      <c r="B442" s="89">
        <v>12.0</v>
      </c>
    </row>
    <row r="443">
      <c r="A443" s="93" t="s">
        <v>428</v>
      </c>
      <c r="B443" s="89">
        <v>10.0</v>
      </c>
    </row>
    <row r="444">
      <c r="A444" s="93" t="s">
        <v>431</v>
      </c>
      <c r="B444" s="89">
        <v>9.0</v>
      </c>
    </row>
    <row r="445">
      <c r="A445" s="93" t="s">
        <v>432</v>
      </c>
      <c r="B445" s="89">
        <v>7.0</v>
      </c>
    </row>
    <row r="446">
      <c r="A446" s="93" t="s">
        <v>418</v>
      </c>
      <c r="B446" s="89">
        <v>6.0</v>
      </c>
    </row>
    <row r="447">
      <c r="A447" s="93" t="s">
        <v>419</v>
      </c>
      <c r="B447" s="89">
        <v>6.0</v>
      </c>
    </row>
    <row r="448">
      <c r="A448" s="93" t="s">
        <v>423</v>
      </c>
      <c r="B448" s="89" t="s">
        <v>808</v>
      </c>
    </row>
    <row r="449">
      <c r="A449" s="93" t="s">
        <v>424</v>
      </c>
      <c r="B449" s="89">
        <v>2.0</v>
      </c>
    </row>
    <row r="450">
      <c r="A450" s="93" t="s">
        <v>211</v>
      </c>
      <c r="B450" s="89">
        <v>51.0</v>
      </c>
    </row>
    <row r="451">
      <c r="A451" s="93" t="s">
        <v>206</v>
      </c>
      <c r="B451" s="89">
        <v>22.0</v>
      </c>
    </row>
    <row r="452">
      <c r="A452" s="93" t="s">
        <v>557</v>
      </c>
      <c r="B452" s="89">
        <v>8.0</v>
      </c>
    </row>
    <row r="453">
      <c r="A453" s="93" t="s">
        <v>353</v>
      </c>
      <c r="B453" s="89">
        <v>14.0</v>
      </c>
    </row>
    <row r="454">
      <c r="A454" s="93" t="s">
        <v>210</v>
      </c>
      <c r="B454" s="89">
        <v>22.0</v>
      </c>
    </row>
    <row r="455">
      <c r="A455" s="93" t="s">
        <v>318</v>
      </c>
      <c r="B455" s="89">
        <v>86.0</v>
      </c>
    </row>
    <row r="456">
      <c r="A456" s="93" t="s">
        <v>29</v>
      </c>
      <c r="B456" s="89">
        <v>83.0</v>
      </c>
    </row>
    <row r="457">
      <c r="A457" s="93" t="s">
        <v>730</v>
      </c>
      <c r="B457" s="89">
        <v>40.0</v>
      </c>
    </row>
    <row r="458">
      <c r="A458" s="93" t="s">
        <v>731</v>
      </c>
      <c r="B458" s="89">
        <v>34.0</v>
      </c>
    </row>
    <row r="459">
      <c r="A459" s="93" t="s">
        <v>732</v>
      </c>
      <c r="B459" s="89">
        <v>40.0</v>
      </c>
    </row>
    <row r="460">
      <c r="A460" s="93" t="s">
        <v>733</v>
      </c>
      <c r="B460" s="89">
        <v>40.0</v>
      </c>
    </row>
    <row r="461">
      <c r="A461" s="93" t="s">
        <v>742</v>
      </c>
      <c r="B461" s="89">
        <v>28.0</v>
      </c>
    </row>
    <row r="462">
      <c r="A462" s="93" t="s">
        <v>743</v>
      </c>
      <c r="B462" s="89">
        <v>7.0</v>
      </c>
    </row>
    <row r="463">
      <c r="A463" s="93" t="s">
        <v>744</v>
      </c>
      <c r="B463" s="89">
        <v>32.0</v>
      </c>
    </row>
    <row r="464">
      <c r="A464" s="93" t="s">
        <v>745</v>
      </c>
      <c r="B464" s="89">
        <v>32.0</v>
      </c>
    </row>
    <row r="465">
      <c r="A465" s="93" t="s">
        <v>750</v>
      </c>
      <c r="B465" s="89">
        <v>24.0</v>
      </c>
    </row>
    <row r="466">
      <c r="A466" s="93" t="s">
        <v>751</v>
      </c>
      <c r="B466" s="89">
        <v>13.0</v>
      </c>
    </row>
    <row r="467">
      <c r="A467" s="93" t="s">
        <v>752</v>
      </c>
      <c r="B467" s="89">
        <v>24.0</v>
      </c>
    </row>
    <row r="468">
      <c r="A468" s="93" t="s">
        <v>753</v>
      </c>
      <c r="B468" s="89">
        <v>24.0</v>
      </c>
    </row>
    <row r="469">
      <c r="A469" s="93" t="s">
        <v>722</v>
      </c>
      <c r="B469" s="89">
        <v>48.0</v>
      </c>
    </row>
    <row r="470">
      <c r="A470" s="93" t="s">
        <v>723</v>
      </c>
      <c r="B470" s="89">
        <v>48.0</v>
      </c>
    </row>
    <row r="471">
      <c r="A471" s="93" t="s">
        <v>724</v>
      </c>
      <c r="B471" s="89">
        <v>48.0</v>
      </c>
    </row>
    <row r="472">
      <c r="A472" s="93" t="s">
        <v>725</v>
      </c>
      <c r="B472" s="89">
        <v>48.0</v>
      </c>
    </row>
    <row r="473">
      <c r="A473" s="93" t="s">
        <v>758</v>
      </c>
      <c r="B473" s="89" t="s">
        <v>808</v>
      </c>
    </row>
    <row r="474">
      <c r="A474" s="93" t="s">
        <v>759</v>
      </c>
      <c r="B474" s="89" t="s">
        <v>808</v>
      </c>
    </row>
    <row r="475">
      <c r="A475" s="93" t="s">
        <v>760</v>
      </c>
      <c r="B475" s="89">
        <v>12.0</v>
      </c>
    </row>
    <row r="476">
      <c r="A476" s="93" t="s">
        <v>761</v>
      </c>
      <c r="B476" s="89">
        <v>10.0</v>
      </c>
    </row>
    <row r="477">
      <c r="A477" s="93" t="s">
        <v>197</v>
      </c>
      <c r="B477" s="89">
        <v>25.0</v>
      </c>
    </row>
    <row r="478">
      <c r="A478" s="93" t="s">
        <v>633</v>
      </c>
      <c r="B478" s="89">
        <v>9.0</v>
      </c>
    </row>
    <row r="479">
      <c r="A479" s="93" t="s">
        <v>780</v>
      </c>
      <c r="B479" s="89">
        <v>29.0</v>
      </c>
    </row>
    <row r="480">
      <c r="A480" s="93" t="s">
        <v>786</v>
      </c>
      <c r="B480" s="89">
        <v>18.0</v>
      </c>
    </row>
    <row r="481">
      <c r="A481" s="93" t="s">
        <v>63</v>
      </c>
      <c r="B481" s="89">
        <v>1.0</v>
      </c>
    </row>
    <row r="482">
      <c r="A482" s="93" t="s">
        <v>236</v>
      </c>
      <c r="B482" s="89">
        <v>690.0</v>
      </c>
    </row>
    <row r="483">
      <c r="A483" s="93" t="s">
        <v>275</v>
      </c>
      <c r="B483" s="89">
        <v>16.0</v>
      </c>
    </row>
    <row r="484">
      <c r="A484" s="93" t="s">
        <v>643</v>
      </c>
      <c r="B484" s="89">
        <v>7.0</v>
      </c>
    </row>
    <row r="485">
      <c r="A485" s="93" t="s">
        <v>314</v>
      </c>
      <c r="B485" s="89">
        <v>43.0</v>
      </c>
    </row>
    <row r="486">
      <c r="A486" s="93" t="s">
        <v>706</v>
      </c>
      <c r="B486" s="89">
        <v>26.0</v>
      </c>
    </row>
    <row r="487">
      <c r="A487" s="93" t="s">
        <v>766</v>
      </c>
      <c r="B487" s="89">
        <v>118.0</v>
      </c>
    </row>
    <row r="488">
      <c r="A488" s="93" t="s">
        <v>23</v>
      </c>
      <c r="B488" s="95" t="s">
        <v>808</v>
      </c>
    </row>
    <row r="489">
      <c r="A489" s="93" t="s">
        <v>25</v>
      </c>
      <c r="B489" s="89">
        <v>160.0</v>
      </c>
    </row>
    <row r="490">
      <c r="A490" s="93" t="s">
        <v>638</v>
      </c>
      <c r="B490" s="89">
        <v>3.0</v>
      </c>
    </row>
    <row r="491">
      <c r="A491" s="93" t="s">
        <v>294</v>
      </c>
      <c r="B491" s="89">
        <v>21.0</v>
      </c>
    </row>
    <row r="492">
      <c r="A492" s="93" t="s">
        <v>608</v>
      </c>
      <c r="B492" s="89" t="s">
        <v>808</v>
      </c>
    </row>
    <row r="493">
      <c r="A493" s="93" t="s">
        <v>213</v>
      </c>
      <c r="B493" s="89">
        <v>18.0</v>
      </c>
    </row>
    <row r="494">
      <c r="A494" s="93" t="s">
        <v>214</v>
      </c>
      <c r="B494" s="89">
        <v>13.0</v>
      </c>
    </row>
    <row r="495">
      <c r="A495" s="93" t="s">
        <v>35</v>
      </c>
      <c r="B495" s="89">
        <v>60.0</v>
      </c>
    </row>
    <row r="496">
      <c r="A496" s="93" t="s">
        <v>194</v>
      </c>
      <c r="B496" s="89" t="s">
        <v>808</v>
      </c>
    </row>
    <row r="497">
      <c r="A497" s="93" t="s">
        <v>466</v>
      </c>
      <c r="B497" s="89" t="s">
        <v>808</v>
      </c>
    </row>
    <row r="498">
      <c r="A498" s="93" t="s">
        <v>232</v>
      </c>
      <c r="B498" s="89" t="s">
        <v>808</v>
      </c>
    </row>
    <row r="499">
      <c r="A499" s="93" t="s">
        <v>131</v>
      </c>
      <c r="B499" s="89">
        <v>45.0</v>
      </c>
    </row>
    <row r="500">
      <c r="A500" s="93" t="s">
        <v>377</v>
      </c>
      <c r="B500" s="90" t="s">
        <v>808</v>
      </c>
    </row>
    <row r="501">
      <c r="A501" s="93" t="s">
        <v>542</v>
      </c>
      <c r="B501" s="89">
        <v>15.0</v>
      </c>
    </row>
    <row r="502">
      <c r="A502" s="93" t="s">
        <v>545</v>
      </c>
      <c r="B502" s="89">
        <v>5.0</v>
      </c>
    </row>
    <row r="503">
      <c r="A503" s="93" t="s">
        <v>390</v>
      </c>
      <c r="B503" s="89" t="s">
        <v>808</v>
      </c>
    </row>
    <row r="504">
      <c r="A504" s="93" t="s">
        <v>111</v>
      </c>
      <c r="B504" s="89">
        <v>62.0</v>
      </c>
    </row>
    <row r="505">
      <c r="A505" s="93" t="s">
        <v>124</v>
      </c>
      <c r="B505" s="89">
        <v>83.0</v>
      </c>
    </row>
    <row r="506">
      <c r="A506" s="93" t="s">
        <v>346</v>
      </c>
      <c r="B506" s="89">
        <v>18.0</v>
      </c>
    </row>
    <row r="507">
      <c r="A507" s="93" t="s">
        <v>93</v>
      </c>
      <c r="B507" s="89">
        <v>16.0</v>
      </c>
    </row>
    <row r="508">
      <c r="A508" s="93" t="s">
        <v>634</v>
      </c>
      <c r="B508" s="89">
        <v>23.0</v>
      </c>
    </row>
    <row r="509">
      <c r="A509" s="93" t="s">
        <v>635</v>
      </c>
      <c r="B509" s="89">
        <v>15.0</v>
      </c>
    </row>
    <row r="510">
      <c r="A510" s="93" t="s">
        <v>632</v>
      </c>
      <c r="B510" s="89">
        <v>14.0</v>
      </c>
    </row>
    <row r="511">
      <c r="A511" s="93" t="s">
        <v>334</v>
      </c>
      <c r="B511" s="89">
        <v>23.0</v>
      </c>
    </row>
    <row r="512">
      <c r="A512" s="93" t="s">
        <v>198</v>
      </c>
      <c r="B512" s="89">
        <v>56.0</v>
      </c>
    </row>
    <row r="513">
      <c r="A513" s="93" t="s">
        <v>179</v>
      </c>
      <c r="B513" s="89">
        <v>11.0</v>
      </c>
    </row>
    <row r="514">
      <c r="A514" s="93" t="s">
        <v>185</v>
      </c>
      <c r="B514" s="89">
        <v>7.0</v>
      </c>
    </row>
    <row r="515">
      <c r="A515" s="93" t="s">
        <v>189</v>
      </c>
      <c r="B515" s="89">
        <v>2.0</v>
      </c>
    </row>
    <row r="516">
      <c r="A516" s="93" t="s">
        <v>391</v>
      </c>
      <c r="B516" s="89">
        <v>3.0</v>
      </c>
    </row>
    <row r="517">
      <c r="A517" s="93" t="s">
        <v>684</v>
      </c>
      <c r="B517" s="89" t="s">
        <v>808</v>
      </c>
    </row>
    <row r="518">
      <c r="A518" s="93" t="s">
        <v>470</v>
      </c>
      <c r="B518" s="89" t="s">
        <v>808</v>
      </c>
    </row>
    <row r="519">
      <c r="A519" s="93" t="s">
        <v>475</v>
      </c>
      <c r="B519" s="89">
        <v>84.0</v>
      </c>
    </row>
    <row r="520">
      <c r="A520" s="93" t="s">
        <v>770</v>
      </c>
      <c r="B520" s="89">
        <v>85.0</v>
      </c>
    </row>
    <row r="521">
      <c r="A521" s="93" t="s">
        <v>404</v>
      </c>
      <c r="B521" s="89" t="s">
        <v>808</v>
      </c>
    </row>
    <row r="522">
      <c r="A522" s="93" t="s">
        <v>242</v>
      </c>
      <c r="B522" s="89" t="s">
        <v>808</v>
      </c>
    </row>
    <row r="523">
      <c r="A523" s="93" t="s">
        <v>548</v>
      </c>
      <c r="B523" s="89" t="s">
        <v>808</v>
      </c>
    </row>
    <row r="524">
      <c r="A524" s="93" t="s">
        <v>549</v>
      </c>
      <c r="B524" s="89" t="s">
        <v>808</v>
      </c>
    </row>
    <row r="525">
      <c r="A525" s="93" t="s">
        <v>551</v>
      </c>
      <c r="B525" s="89" t="s">
        <v>808</v>
      </c>
    </row>
    <row r="526">
      <c r="A526" s="93" t="s">
        <v>789</v>
      </c>
      <c r="B526" s="89">
        <v>24.0</v>
      </c>
    </row>
    <row r="527">
      <c r="A527" s="93" t="s">
        <v>790</v>
      </c>
      <c r="B527" s="89">
        <v>24.0</v>
      </c>
    </row>
    <row r="528">
      <c r="A528" s="93" t="s">
        <v>791</v>
      </c>
      <c r="B528" s="89">
        <v>24.0</v>
      </c>
    </row>
    <row r="529">
      <c r="A529" s="93" t="s">
        <v>792</v>
      </c>
      <c r="B529" s="89">
        <v>24.0</v>
      </c>
    </row>
    <row r="530">
      <c r="A530" s="93" t="s">
        <v>793</v>
      </c>
      <c r="B530" s="89">
        <v>16.0</v>
      </c>
    </row>
    <row r="531">
      <c r="A531" s="93" t="s">
        <v>794</v>
      </c>
      <c r="B531" s="89">
        <v>3.0</v>
      </c>
    </row>
    <row r="532">
      <c r="A532" s="93" t="s">
        <v>795</v>
      </c>
      <c r="B532" s="89">
        <v>16.0</v>
      </c>
    </row>
    <row r="533">
      <c r="A533" s="93" t="s">
        <v>796</v>
      </c>
      <c r="B533" s="89">
        <v>16.0</v>
      </c>
    </row>
    <row r="534">
      <c r="A534" s="93" t="s">
        <v>797</v>
      </c>
      <c r="B534" s="89">
        <v>8.0</v>
      </c>
    </row>
    <row r="535">
      <c r="A535" s="93" t="s">
        <v>798</v>
      </c>
      <c r="B535" s="89">
        <v>6.0</v>
      </c>
    </row>
    <row r="536">
      <c r="A536" s="93" t="s">
        <v>799</v>
      </c>
      <c r="B536" s="89">
        <v>9.0</v>
      </c>
    </row>
    <row r="537">
      <c r="A537" s="93" t="s">
        <v>202</v>
      </c>
      <c r="B537" s="89" t="s">
        <v>808</v>
      </c>
    </row>
    <row r="538">
      <c r="A538" s="93" t="s">
        <v>107</v>
      </c>
      <c r="B538" s="89">
        <v>152.0</v>
      </c>
    </row>
    <row r="539">
      <c r="A539" s="93" t="s">
        <v>439</v>
      </c>
      <c r="B539" s="89" t="s">
        <v>808</v>
      </c>
    </row>
    <row r="540">
      <c r="A540" s="93" t="s">
        <v>778</v>
      </c>
      <c r="B540" s="89">
        <v>20.0</v>
      </c>
    </row>
    <row r="541">
      <c r="A541" s="93" t="s">
        <v>87</v>
      </c>
      <c r="B541" s="90">
        <v>32.0</v>
      </c>
    </row>
    <row r="542">
      <c r="A542" s="93" t="s">
        <v>82</v>
      </c>
      <c r="B542" s="89">
        <v>16.0</v>
      </c>
    </row>
    <row r="543">
      <c r="A543" s="93" t="s">
        <v>86</v>
      </c>
      <c r="B543" s="89">
        <v>15.0</v>
      </c>
    </row>
    <row r="544">
      <c r="A544" s="93" t="s">
        <v>91</v>
      </c>
      <c r="B544" s="89">
        <v>12.0</v>
      </c>
    </row>
    <row r="545">
      <c r="A545" s="93" t="s">
        <v>176</v>
      </c>
      <c r="B545" s="89">
        <v>12.0</v>
      </c>
    </row>
    <row r="546">
      <c r="A546" s="93" t="s">
        <v>462</v>
      </c>
      <c r="B546" s="89" t="s">
        <v>808</v>
      </c>
    </row>
    <row r="547">
      <c r="A547" s="93" t="s">
        <v>385</v>
      </c>
      <c r="B547" s="89">
        <v>20.0</v>
      </c>
    </row>
    <row r="548">
      <c r="A548" s="93" t="s">
        <v>307</v>
      </c>
      <c r="B548" s="89" t="s">
        <v>808</v>
      </c>
    </row>
    <row r="549">
      <c r="A549" s="93" t="s">
        <v>493</v>
      </c>
      <c r="B549" s="89">
        <v>36.0</v>
      </c>
    </row>
    <row r="550">
      <c r="A550" s="93" t="s">
        <v>494</v>
      </c>
      <c r="B550" s="89">
        <v>148.0</v>
      </c>
    </row>
    <row r="551">
      <c r="A551" s="93" t="s">
        <v>496</v>
      </c>
      <c r="B551" s="89" t="s">
        <v>808</v>
      </c>
    </row>
    <row r="552">
      <c r="A552" s="93" t="s">
        <v>136</v>
      </c>
      <c r="B552" s="89">
        <v>6.0</v>
      </c>
    </row>
    <row r="553">
      <c r="A553" s="93" t="s">
        <v>271</v>
      </c>
      <c r="B553" s="89">
        <v>29.0</v>
      </c>
    </row>
    <row r="554">
      <c r="A554" s="93" t="s">
        <v>325</v>
      </c>
      <c r="B554" s="89" t="s">
        <v>808</v>
      </c>
    </row>
    <row r="555">
      <c r="A555" s="93" t="s">
        <v>648</v>
      </c>
      <c r="B555" s="89">
        <v>3.0</v>
      </c>
    </row>
    <row r="556">
      <c r="A556" s="93" t="s">
        <v>649</v>
      </c>
      <c r="B556" s="89">
        <v>3.0</v>
      </c>
    </row>
    <row r="557">
      <c r="A557" s="93" t="s">
        <v>503</v>
      </c>
      <c r="B557" s="89" t="s">
        <v>808</v>
      </c>
    </row>
    <row r="558">
      <c r="A558" s="93" t="s">
        <v>209</v>
      </c>
      <c r="B558" s="89">
        <v>49.0</v>
      </c>
    </row>
    <row r="559">
      <c r="A559" s="93" t="s">
        <v>540</v>
      </c>
      <c r="B559" s="89" t="s">
        <v>808</v>
      </c>
    </row>
    <row r="560">
      <c r="A560" s="93" t="s">
        <v>467</v>
      </c>
      <c r="B560" s="89">
        <v>13.0</v>
      </c>
    </row>
    <row r="561">
      <c r="A561" s="93" t="s">
        <v>228</v>
      </c>
      <c r="B561" s="89">
        <v>3.0</v>
      </c>
    </row>
    <row r="562">
      <c r="A562" s="93" t="s">
        <v>691</v>
      </c>
      <c r="B562" s="89" t="s">
        <v>808</v>
      </c>
    </row>
    <row r="563">
      <c r="A563" s="93" t="s">
        <v>274</v>
      </c>
      <c r="B563" s="89">
        <v>36.0</v>
      </c>
    </row>
    <row r="564">
      <c r="A564" s="93" t="s">
        <v>486</v>
      </c>
      <c r="B564" s="89" t="s">
        <v>808</v>
      </c>
    </row>
    <row r="565">
      <c r="A565" s="93" t="s">
        <v>630</v>
      </c>
      <c r="B565" s="89">
        <v>30.0</v>
      </c>
    </row>
    <row r="566">
      <c r="A566" s="93" t="s">
        <v>73</v>
      </c>
      <c r="B566" s="89" t="s">
        <v>808</v>
      </c>
    </row>
    <row r="567">
      <c r="A567" s="93" t="s">
        <v>408</v>
      </c>
      <c r="B567" s="89" t="s">
        <v>808</v>
      </c>
    </row>
    <row r="568">
      <c r="A568" s="93" t="s">
        <v>196</v>
      </c>
      <c r="B568" s="89">
        <v>2.0</v>
      </c>
    </row>
    <row r="569">
      <c r="A569" s="93" t="s">
        <v>625</v>
      </c>
      <c r="B569" s="89">
        <v>100.0</v>
      </c>
    </row>
    <row r="570">
      <c r="A570" s="93" t="s">
        <v>56</v>
      </c>
      <c r="B570" s="89" t="s">
        <v>808</v>
      </c>
    </row>
    <row r="571">
      <c r="A571" s="93" t="s">
        <v>707</v>
      </c>
      <c r="B571" s="89" t="s">
        <v>808</v>
      </c>
    </row>
    <row r="572">
      <c r="A572" s="93" t="s">
        <v>39</v>
      </c>
      <c r="B572" s="89" t="s">
        <v>808</v>
      </c>
    </row>
    <row r="573">
      <c r="A573" s="93" t="s">
        <v>85</v>
      </c>
      <c r="B573" s="89" t="s">
        <v>808</v>
      </c>
    </row>
    <row r="574">
      <c r="A574" s="93" t="s">
        <v>116</v>
      </c>
      <c r="B574" s="89">
        <v>80.0</v>
      </c>
    </row>
    <row r="575">
      <c r="A575" s="93" t="s">
        <v>711</v>
      </c>
      <c r="B575" s="89">
        <v>8.0</v>
      </c>
    </row>
    <row r="576">
      <c r="A576" s="93" t="s">
        <v>543</v>
      </c>
      <c r="B576" s="89">
        <v>15.0</v>
      </c>
    </row>
    <row r="577">
      <c r="A577" s="93" t="s">
        <v>43</v>
      </c>
      <c r="B577" s="89">
        <v>17.0</v>
      </c>
    </row>
    <row r="578">
      <c r="A578" s="93" t="s">
        <v>383</v>
      </c>
      <c r="B578" s="89">
        <v>8.0</v>
      </c>
    </row>
    <row r="579">
      <c r="A579" s="93" t="s">
        <v>386</v>
      </c>
      <c r="B579" s="89">
        <v>12.0</v>
      </c>
    </row>
    <row r="580">
      <c r="A580" s="93" t="s">
        <v>547</v>
      </c>
      <c r="B580" s="89">
        <v>9.0</v>
      </c>
    </row>
    <row r="581">
      <c r="A581" s="93" t="s">
        <v>476</v>
      </c>
      <c r="B581" s="89">
        <v>69.0</v>
      </c>
    </row>
    <row r="582">
      <c r="A582" s="93" t="s">
        <v>552</v>
      </c>
      <c r="B582" s="89" t="s">
        <v>808</v>
      </c>
    </row>
    <row r="583">
      <c r="A583" s="93" t="s">
        <v>266</v>
      </c>
      <c r="B583" s="89">
        <v>22.0</v>
      </c>
    </row>
    <row r="584">
      <c r="A584" s="93" t="s">
        <v>265</v>
      </c>
      <c r="B584" s="89">
        <v>60.0</v>
      </c>
    </row>
    <row r="585">
      <c r="A585" s="93" t="s">
        <v>195</v>
      </c>
      <c r="B585" s="89">
        <v>7.0</v>
      </c>
    </row>
    <row r="586">
      <c r="A586" s="93" t="s">
        <v>810</v>
      </c>
      <c r="B586" s="89">
        <v>24.0</v>
      </c>
    </row>
    <row r="587">
      <c r="A587" s="93" t="s">
        <v>410</v>
      </c>
      <c r="B587" s="89" t="s">
        <v>808</v>
      </c>
    </row>
    <row r="588">
      <c r="A588" s="93" t="s">
        <v>596</v>
      </c>
      <c r="B588" s="89">
        <v>1.0</v>
      </c>
    </row>
    <row r="589">
      <c r="A589" s="93" t="s">
        <v>677</v>
      </c>
      <c r="B589" s="89" t="s">
        <v>808</v>
      </c>
    </row>
    <row r="590">
      <c r="A590" s="93" t="s">
        <v>473</v>
      </c>
      <c r="B590" s="89">
        <v>171.0</v>
      </c>
    </row>
    <row r="591">
      <c r="A591" s="93" t="s">
        <v>120</v>
      </c>
      <c r="B591" s="89">
        <v>45.0</v>
      </c>
    </row>
    <row r="592">
      <c r="A592" s="93" t="s">
        <v>771</v>
      </c>
      <c r="B592" s="89">
        <v>46.0</v>
      </c>
    </row>
    <row r="593">
      <c r="A593" s="93" t="s">
        <v>769</v>
      </c>
      <c r="B593" s="89">
        <v>48.0</v>
      </c>
    </row>
    <row r="594">
      <c r="A594" s="93" t="s">
        <v>772</v>
      </c>
      <c r="B594" s="89">
        <v>16.0</v>
      </c>
    </row>
    <row r="595">
      <c r="A595" s="93" t="s">
        <v>776</v>
      </c>
      <c r="B595" s="89">
        <v>39.0</v>
      </c>
    </row>
    <row r="596">
      <c r="A596" s="93" t="s">
        <v>777</v>
      </c>
      <c r="B596" s="89" t="s">
        <v>808</v>
      </c>
    </row>
    <row r="597">
      <c r="A597" s="93" t="s">
        <v>773</v>
      </c>
      <c r="B597" s="89">
        <v>48.0</v>
      </c>
    </row>
    <row r="598">
      <c r="A598" s="93" t="s">
        <v>774</v>
      </c>
      <c r="B598" s="89">
        <v>16.0</v>
      </c>
    </row>
    <row r="599">
      <c r="A599" s="93" t="s">
        <v>779</v>
      </c>
      <c r="B599" s="89">
        <v>2.0</v>
      </c>
    </row>
    <row r="600">
      <c r="A600" s="93" t="s">
        <v>782</v>
      </c>
      <c r="B600" s="89" t="s">
        <v>808</v>
      </c>
    </row>
    <row r="601">
      <c r="A601" s="93" t="s">
        <v>783</v>
      </c>
      <c r="B601" s="89">
        <v>32.0</v>
      </c>
    </row>
    <row r="602">
      <c r="A602" s="93" t="s">
        <v>811</v>
      </c>
      <c r="B602" s="89">
        <v>32.0</v>
      </c>
    </row>
    <row r="603">
      <c r="A603" s="93" t="s">
        <v>781</v>
      </c>
      <c r="B603" s="89">
        <v>16.0</v>
      </c>
    </row>
    <row r="604">
      <c r="A604" s="93" t="s">
        <v>784</v>
      </c>
      <c r="B604" s="89">
        <v>16.0</v>
      </c>
    </row>
    <row r="605">
      <c r="A605" s="93" t="s">
        <v>767</v>
      </c>
      <c r="B605" s="89">
        <v>24.0</v>
      </c>
    </row>
    <row r="606">
      <c r="A606" s="93" t="s">
        <v>440</v>
      </c>
      <c r="B606" s="89">
        <v>5.0</v>
      </c>
    </row>
    <row r="607">
      <c r="A607" s="93" t="s">
        <v>393</v>
      </c>
      <c r="B607" s="89">
        <v>3.0</v>
      </c>
    </row>
    <row r="608">
      <c r="A608" s="93" t="s">
        <v>502</v>
      </c>
      <c r="B608" s="89" t="s">
        <v>808</v>
      </c>
    </row>
    <row r="609">
      <c r="A609" s="93" t="s">
        <v>165</v>
      </c>
      <c r="B609" s="89" t="s">
        <v>808</v>
      </c>
    </row>
    <row r="610">
      <c r="A610" s="93" t="s">
        <v>406</v>
      </c>
      <c r="B610" s="89" t="s">
        <v>808</v>
      </c>
    </row>
    <row r="611">
      <c r="A611" s="93" t="s">
        <v>169</v>
      </c>
      <c r="B611" s="89" t="s">
        <v>808</v>
      </c>
    </row>
    <row r="612">
      <c r="A612" s="93" t="s">
        <v>528</v>
      </c>
      <c r="B612" s="89" t="s">
        <v>808</v>
      </c>
    </row>
    <row r="613">
      <c r="A613" s="93" t="s">
        <v>812</v>
      </c>
      <c r="B613" s="89" t="s">
        <v>808</v>
      </c>
    </row>
    <row r="614">
      <c r="A614" s="93" t="s">
        <v>489</v>
      </c>
      <c r="B614" s="89" t="s">
        <v>808</v>
      </c>
    </row>
    <row r="615">
      <c r="A615" s="93" t="s">
        <v>284</v>
      </c>
      <c r="B615" s="89" t="s">
        <v>808</v>
      </c>
    </row>
    <row r="616">
      <c r="A616" s="93" t="s">
        <v>53</v>
      </c>
      <c r="B616" s="89" t="s">
        <v>808</v>
      </c>
    </row>
    <row r="617">
      <c r="A617" s="93" t="s">
        <v>54</v>
      </c>
      <c r="B617" s="89" t="s">
        <v>808</v>
      </c>
    </row>
    <row r="618">
      <c r="A618" s="93" t="s">
        <v>90</v>
      </c>
      <c r="B618" s="89">
        <v>16.0</v>
      </c>
    </row>
    <row r="619">
      <c r="A619" s="93" t="s">
        <v>9</v>
      </c>
      <c r="B619" s="89" t="s">
        <v>808</v>
      </c>
    </row>
    <row r="620">
      <c r="A620" s="93" t="s">
        <v>8</v>
      </c>
      <c r="B620" s="89" t="s">
        <v>808</v>
      </c>
    </row>
    <row r="621">
      <c r="A621" s="93" t="s">
        <v>505</v>
      </c>
      <c r="B621" s="89">
        <v>30.0</v>
      </c>
    </row>
    <row r="622">
      <c r="A622" s="93" t="s">
        <v>813</v>
      </c>
      <c r="B622" s="89" t="s">
        <v>808</v>
      </c>
    </row>
    <row r="623">
      <c r="A623" s="93" t="s">
        <v>674</v>
      </c>
      <c r="B623" s="90">
        <v>1.0</v>
      </c>
    </row>
    <row r="624">
      <c r="A624" s="93" t="s">
        <v>642</v>
      </c>
      <c r="B624" s="89">
        <v>10.0</v>
      </c>
    </row>
    <row r="625">
      <c r="A625" s="93" t="s">
        <v>175</v>
      </c>
      <c r="B625" s="89" t="s">
        <v>808</v>
      </c>
    </row>
    <row r="626">
      <c r="A626" s="93" t="s">
        <v>133</v>
      </c>
      <c r="B626" s="89" t="s">
        <v>808</v>
      </c>
    </row>
    <row r="627">
      <c r="A627" s="93" t="s">
        <v>571</v>
      </c>
      <c r="B627" s="89" t="s">
        <v>808</v>
      </c>
    </row>
    <row r="628">
      <c r="A628" s="93" t="s">
        <v>587</v>
      </c>
      <c r="B628" s="89">
        <v>20.0</v>
      </c>
    </row>
    <row r="629">
      <c r="A629" s="93" t="s">
        <v>569</v>
      </c>
      <c r="B629" s="89">
        <v>5.0</v>
      </c>
    </row>
    <row r="630">
      <c r="A630" s="93" t="s">
        <v>631</v>
      </c>
      <c r="B630" s="89" t="s">
        <v>808</v>
      </c>
    </row>
    <row r="631">
      <c r="A631" s="93" t="s">
        <v>249</v>
      </c>
      <c r="B631" s="89">
        <v>190.0</v>
      </c>
    </row>
    <row r="632">
      <c r="A632" s="93" t="s">
        <v>36</v>
      </c>
      <c r="B632" s="89">
        <v>48.0</v>
      </c>
    </row>
    <row r="633">
      <c r="A633" s="93" t="s">
        <v>37</v>
      </c>
      <c r="B633" s="89">
        <v>60.0</v>
      </c>
    </row>
    <row r="634">
      <c r="A634" s="93" t="s">
        <v>38</v>
      </c>
      <c r="B634" s="89">
        <v>60.0</v>
      </c>
    </row>
    <row r="635">
      <c r="A635" s="93" t="s">
        <v>650</v>
      </c>
      <c r="B635" s="89">
        <v>1.0</v>
      </c>
    </row>
    <row r="636">
      <c r="A636" s="93" t="s">
        <v>651</v>
      </c>
      <c r="B636" s="89">
        <v>5.0</v>
      </c>
    </row>
    <row r="637">
      <c r="A637" s="93" t="s">
        <v>644</v>
      </c>
      <c r="B637" s="89">
        <v>12.0</v>
      </c>
    </row>
    <row r="638">
      <c r="A638" s="93" t="s">
        <v>645</v>
      </c>
      <c r="B638" s="89">
        <v>11.0</v>
      </c>
    </row>
    <row r="639">
      <c r="A639" s="93" t="s">
        <v>646</v>
      </c>
      <c r="B639" s="89">
        <v>12.0</v>
      </c>
    </row>
    <row r="640">
      <c r="A640" s="93" t="s">
        <v>647</v>
      </c>
      <c r="B640" s="89">
        <v>12.0</v>
      </c>
    </row>
    <row r="641">
      <c r="A641" s="93" t="s">
        <v>546</v>
      </c>
      <c r="B641" s="89" t="s">
        <v>808</v>
      </c>
    </row>
    <row r="642">
      <c r="A642" s="93" t="s">
        <v>561</v>
      </c>
      <c r="B642" s="89">
        <v>21.0</v>
      </c>
    </row>
    <row r="643">
      <c r="A643" s="93" t="s">
        <v>392</v>
      </c>
      <c r="B643" s="89" t="s">
        <v>808</v>
      </c>
    </row>
    <row r="644">
      <c r="A644" s="93" t="s">
        <v>814</v>
      </c>
      <c r="B644" s="89">
        <v>10.0</v>
      </c>
    </row>
    <row r="645">
      <c r="A645" s="93" t="s">
        <v>497</v>
      </c>
      <c r="B645" s="89" t="s">
        <v>808</v>
      </c>
    </row>
    <row r="646">
      <c r="A646" s="93" t="s">
        <v>498</v>
      </c>
      <c r="B646" s="89" t="s">
        <v>808</v>
      </c>
    </row>
    <row r="647">
      <c r="A647" s="93" t="s">
        <v>499</v>
      </c>
      <c r="B647" s="89" t="s">
        <v>808</v>
      </c>
    </row>
    <row r="648">
      <c r="A648" s="93" t="s">
        <v>500</v>
      </c>
      <c r="B648" s="89" t="s">
        <v>808</v>
      </c>
    </row>
    <row r="649">
      <c r="A649" s="93" t="s">
        <v>509</v>
      </c>
      <c r="B649" s="89" t="s">
        <v>808</v>
      </c>
    </row>
    <row r="650">
      <c r="A650" s="93" t="s">
        <v>582</v>
      </c>
      <c r="B650" s="89" t="s">
        <v>808</v>
      </c>
    </row>
    <row r="651">
      <c r="A651" s="93" t="s">
        <v>693</v>
      </c>
      <c r="B651" s="89" t="s">
        <v>808</v>
      </c>
    </row>
    <row r="652">
      <c r="A652" s="93" t="s">
        <v>703</v>
      </c>
      <c r="B652" s="89" t="s">
        <v>808</v>
      </c>
    </row>
    <row r="653">
      <c r="A653" s="93" t="s">
        <v>218</v>
      </c>
      <c r="B653" s="89" t="s">
        <v>808</v>
      </c>
    </row>
    <row r="654">
      <c r="A654" s="93" t="s">
        <v>461</v>
      </c>
      <c r="B654" s="89" t="s">
        <v>808</v>
      </c>
    </row>
    <row r="655">
      <c r="A655" s="93" t="s">
        <v>479</v>
      </c>
      <c r="B655" s="89" t="s">
        <v>808</v>
      </c>
    </row>
    <row r="656">
      <c r="A656" s="93" t="s">
        <v>16</v>
      </c>
      <c r="B656" s="89" t="s">
        <v>808</v>
      </c>
    </row>
    <row r="657">
      <c r="A657" s="93" t="s">
        <v>668</v>
      </c>
      <c r="B657" s="89" t="s">
        <v>808</v>
      </c>
    </row>
    <row r="658">
      <c r="A658" s="93" t="s">
        <v>280</v>
      </c>
      <c r="B658" s="89" t="s">
        <v>808</v>
      </c>
    </row>
    <row r="659">
      <c r="A659" s="93" t="s">
        <v>244</v>
      </c>
      <c r="B659" s="89" t="s">
        <v>808</v>
      </c>
    </row>
    <row r="660">
      <c r="A660" s="93" t="s">
        <v>60</v>
      </c>
      <c r="B660" s="89" t="s">
        <v>808</v>
      </c>
    </row>
    <row r="661">
      <c r="A661" s="93" t="s">
        <v>61</v>
      </c>
      <c r="B661" s="89" t="s">
        <v>808</v>
      </c>
    </row>
    <row r="662">
      <c r="A662" s="93" t="s">
        <v>62</v>
      </c>
      <c r="B662" s="89" t="s">
        <v>808</v>
      </c>
    </row>
    <row r="663">
      <c r="A663" s="93" t="s">
        <v>246</v>
      </c>
      <c r="B663" s="89" t="s">
        <v>808</v>
      </c>
    </row>
    <row r="664">
      <c r="A664" s="93" t="s">
        <v>239</v>
      </c>
      <c r="B664" s="89" t="s">
        <v>808</v>
      </c>
    </row>
    <row r="665">
      <c r="A665" s="93" t="s">
        <v>253</v>
      </c>
      <c r="B665" s="89" t="s">
        <v>808</v>
      </c>
    </row>
    <row r="666">
      <c r="A666" s="93" t="s">
        <v>255</v>
      </c>
      <c r="B666" s="89" t="s">
        <v>808</v>
      </c>
    </row>
    <row r="667">
      <c r="A667" s="93" t="s">
        <v>256</v>
      </c>
      <c r="B667" s="89" t="s">
        <v>808</v>
      </c>
    </row>
    <row r="668">
      <c r="A668" s="93" t="s">
        <v>259</v>
      </c>
      <c r="B668" s="89" t="s">
        <v>808</v>
      </c>
    </row>
    <row r="669">
      <c r="A669" s="93" t="s">
        <v>260</v>
      </c>
      <c r="B669" s="89" t="s">
        <v>808</v>
      </c>
    </row>
    <row r="670">
      <c r="A670" s="93" t="s">
        <v>258</v>
      </c>
      <c r="B670" s="89" t="s">
        <v>808</v>
      </c>
    </row>
    <row r="671">
      <c r="A671" s="93" t="s">
        <v>264</v>
      </c>
      <c r="B671" s="89" t="s">
        <v>808</v>
      </c>
    </row>
    <row r="672">
      <c r="A672" s="93" t="s">
        <v>262</v>
      </c>
      <c r="B672" s="89" t="s">
        <v>808</v>
      </c>
    </row>
    <row r="673">
      <c r="A673" s="93" t="s">
        <v>207</v>
      </c>
      <c r="B673" s="89" t="s">
        <v>808</v>
      </c>
    </row>
    <row r="674">
      <c r="A674" s="93" t="s">
        <v>208</v>
      </c>
      <c r="B674" s="89" t="s">
        <v>808</v>
      </c>
    </row>
    <row r="675">
      <c r="A675" s="93" t="s">
        <v>627</v>
      </c>
      <c r="B675" s="89" t="s">
        <v>808</v>
      </c>
    </row>
    <row r="676">
      <c r="A676" s="93" t="s">
        <v>623</v>
      </c>
      <c r="B676" s="89" t="s">
        <v>808</v>
      </c>
    </row>
    <row r="677">
      <c r="A677" s="93" t="s">
        <v>628</v>
      </c>
      <c r="B677" s="89" t="s">
        <v>808</v>
      </c>
    </row>
    <row r="678">
      <c r="A678" s="93" t="s">
        <v>138</v>
      </c>
      <c r="B678" s="89" t="s">
        <v>808</v>
      </c>
    </row>
    <row r="679">
      <c r="A679" s="93" t="s">
        <v>125</v>
      </c>
      <c r="B679" s="89" t="s">
        <v>808</v>
      </c>
    </row>
    <row r="680">
      <c r="A680" s="93" t="s">
        <v>200</v>
      </c>
      <c r="B680" s="89" t="s">
        <v>808</v>
      </c>
    </row>
    <row r="681">
      <c r="A681" s="93" t="s">
        <v>686</v>
      </c>
      <c r="B681" s="89" t="s">
        <v>808</v>
      </c>
    </row>
    <row r="682">
      <c r="A682" s="93" t="s">
        <v>203</v>
      </c>
      <c r="B682" s="89" t="s">
        <v>808</v>
      </c>
    </row>
    <row r="683">
      <c r="A683" s="93" t="s">
        <v>533</v>
      </c>
      <c r="B683" s="89" t="s">
        <v>808</v>
      </c>
    </row>
    <row r="684">
      <c r="A684" s="93" t="s">
        <v>532</v>
      </c>
      <c r="B684" s="89" t="s">
        <v>808</v>
      </c>
    </row>
    <row r="685">
      <c r="A685" s="93" t="s">
        <v>538</v>
      </c>
      <c r="B685" s="89" t="s">
        <v>808</v>
      </c>
    </row>
    <row r="686">
      <c r="A686" s="93" t="s">
        <v>429</v>
      </c>
      <c r="B686" s="89" t="s">
        <v>808</v>
      </c>
    </row>
    <row r="687">
      <c r="A687" s="93" t="s">
        <v>815</v>
      </c>
      <c r="B687" s="96" t="s">
        <v>808</v>
      </c>
    </row>
    <row r="688">
      <c r="A688" s="93" t="s">
        <v>40</v>
      </c>
      <c r="B688" s="96" t="s">
        <v>808</v>
      </c>
    </row>
    <row r="689">
      <c r="A689" s="93" t="s">
        <v>682</v>
      </c>
      <c r="B689" s="96" t="s">
        <v>808</v>
      </c>
    </row>
    <row r="690">
      <c r="A690" s="93" t="s">
        <v>495</v>
      </c>
      <c r="B690" s="96" t="s">
        <v>808</v>
      </c>
    </row>
    <row r="691">
      <c r="A691" s="93" t="s">
        <v>140</v>
      </c>
      <c r="B691" s="96" t="s">
        <v>808</v>
      </c>
    </row>
    <row r="692">
      <c r="A692" s="93" t="s">
        <v>233</v>
      </c>
      <c r="B692" s="96" t="s">
        <v>808</v>
      </c>
    </row>
    <row r="693">
      <c r="A693" s="93" t="s">
        <v>430</v>
      </c>
      <c r="B693" s="96" t="s">
        <v>808</v>
      </c>
    </row>
    <row r="694">
      <c r="A694" s="93" t="s">
        <v>541</v>
      </c>
      <c r="B694" s="96" t="s">
        <v>808</v>
      </c>
    </row>
    <row r="695">
      <c r="A695" s="93" t="s">
        <v>192</v>
      </c>
      <c r="B695" s="96" t="s">
        <v>808</v>
      </c>
    </row>
    <row r="696">
      <c r="A696" s="93" t="s">
        <v>190</v>
      </c>
      <c r="B696" s="96" t="s">
        <v>808</v>
      </c>
    </row>
    <row r="697">
      <c r="A697" s="93" t="s">
        <v>193</v>
      </c>
      <c r="B697" s="96" t="s">
        <v>808</v>
      </c>
    </row>
    <row r="698">
      <c r="A698" s="93" t="s">
        <v>97</v>
      </c>
      <c r="B698" s="96" t="s">
        <v>808</v>
      </c>
    </row>
    <row r="699">
      <c r="A699" s="93" t="s">
        <v>100</v>
      </c>
      <c r="B699" s="96" t="s">
        <v>808</v>
      </c>
    </row>
    <row r="700">
      <c r="A700" s="93" t="s">
        <v>448</v>
      </c>
      <c r="B700" s="96" t="s">
        <v>808</v>
      </c>
    </row>
    <row r="701">
      <c r="A701" s="93" t="s">
        <v>167</v>
      </c>
      <c r="B701" s="96" t="s">
        <v>808</v>
      </c>
    </row>
    <row r="702">
      <c r="A702" s="93" t="s">
        <v>98</v>
      </c>
      <c r="B702" s="96" t="s">
        <v>808</v>
      </c>
    </row>
    <row r="703">
      <c r="A703" s="93" t="s">
        <v>99</v>
      </c>
      <c r="B703" s="96" t="s">
        <v>808</v>
      </c>
    </row>
    <row r="704">
      <c r="A704" s="93" t="s">
        <v>101</v>
      </c>
      <c r="B704" s="96" t="s">
        <v>808</v>
      </c>
    </row>
    <row r="705">
      <c r="A705" s="93" t="s">
        <v>105</v>
      </c>
      <c r="B705" s="96" t="s">
        <v>808</v>
      </c>
    </row>
    <row r="706">
      <c r="A706" s="93" t="s">
        <v>104</v>
      </c>
      <c r="B706" s="96" t="s">
        <v>808</v>
      </c>
    </row>
    <row r="707">
      <c r="A707" s="93" t="s">
        <v>6</v>
      </c>
      <c r="B707" s="96" t="s">
        <v>808</v>
      </c>
    </row>
    <row r="708">
      <c r="A708" s="93" t="s">
        <v>65</v>
      </c>
      <c r="B708" s="96" t="s">
        <v>808</v>
      </c>
    </row>
    <row r="709">
      <c r="A709" s="93" t="s">
        <v>66</v>
      </c>
      <c r="B709" s="96" t="s">
        <v>808</v>
      </c>
    </row>
    <row r="710">
      <c r="A710" s="93" t="s">
        <v>78</v>
      </c>
      <c r="B710" s="96" t="s">
        <v>808</v>
      </c>
    </row>
    <row r="711">
      <c r="A711" s="93" t="s">
        <v>168</v>
      </c>
      <c r="B711" s="96" t="s">
        <v>808</v>
      </c>
    </row>
    <row r="712">
      <c r="A712" s="93" t="s">
        <v>639</v>
      </c>
      <c r="B712" s="96" t="s">
        <v>808</v>
      </c>
    </row>
    <row r="713">
      <c r="A713" s="93" t="s">
        <v>681</v>
      </c>
      <c r="B713" s="96" t="s">
        <v>808</v>
      </c>
    </row>
    <row r="714">
      <c r="A714" s="93" t="s">
        <v>565</v>
      </c>
      <c r="B714" s="96" t="s">
        <v>808</v>
      </c>
    </row>
    <row r="715">
      <c r="A715" s="97"/>
      <c r="B715" s="98"/>
    </row>
    <row r="716">
      <c r="B716" s="99"/>
    </row>
    <row r="717">
      <c r="B717" s="99"/>
    </row>
    <row r="718">
      <c r="B718" s="99"/>
    </row>
    <row r="719">
      <c r="B719" s="100">
        <f>SUM(B3:B714)</f>
        <v>57476</v>
      </c>
    </row>
    <row r="720">
      <c r="B720" s="99"/>
    </row>
    <row r="721">
      <c r="B721" s="99"/>
    </row>
    <row r="722">
      <c r="A722" s="101"/>
      <c r="B722" s="98"/>
    </row>
    <row r="723">
      <c r="A723" s="101"/>
      <c r="B723" s="98"/>
    </row>
    <row r="724">
      <c r="A724" s="101"/>
      <c r="B724" s="98"/>
    </row>
    <row r="725">
      <c r="A725" s="101"/>
      <c r="B725" s="98"/>
    </row>
    <row r="726">
      <c r="A726" s="101"/>
      <c r="B726" s="98"/>
    </row>
    <row r="727">
      <c r="A727" s="101"/>
      <c r="B727" s="98"/>
    </row>
    <row r="728">
      <c r="A728" s="78" t="s">
        <v>800</v>
      </c>
      <c r="B728" s="78"/>
    </row>
    <row r="729">
      <c r="A729" s="21" t="s">
        <v>801</v>
      </c>
      <c r="B729" s="21">
        <v>9999.0</v>
      </c>
    </row>
    <row r="730">
      <c r="A730" s="21" t="s">
        <v>802</v>
      </c>
      <c r="B730" s="21">
        <v>9999.0</v>
      </c>
    </row>
    <row r="731">
      <c r="A731" s="21" t="s">
        <v>803</v>
      </c>
      <c r="B731" s="21">
        <v>9999.0</v>
      </c>
    </row>
    <row r="732">
      <c r="A732" s="21" t="s">
        <v>804</v>
      </c>
      <c r="B732" s="21">
        <v>9999.0</v>
      </c>
    </row>
    <row r="733">
      <c r="A733" s="21" t="s">
        <v>805</v>
      </c>
      <c r="B733" s="21">
        <v>9999.0</v>
      </c>
    </row>
    <row r="734">
      <c r="A734" s="101"/>
      <c r="B734" s="98"/>
    </row>
    <row r="735">
      <c r="A735" s="101"/>
      <c r="B735" s="98"/>
    </row>
    <row r="736">
      <c r="A736" s="101"/>
      <c r="B736" s="98"/>
    </row>
    <row r="737">
      <c r="A737" s="101"/>
      <c r="B737" s="98"/>
    </row>
    <row r="738">
      <c r="A738" s="101"/>
      <c r="B738" s="98"/>
    </row>
    <row r="739">
      <c r="A739" s="101"/>
      <c r="B739" s="98"/>
    </row>
    <row r="740">
      <c r="A740" s="101"/>
      <c r="B740" s="98"/>
    </row>
    <row r="741">
      <c r="A741" s="101"/>
      <c r="B741" s="98"/>
    </row>
    <row r="742">
      <c r="A742" s="101"/>
      <c r="B742" s="98"/>
    </row>
    <row r="743">
      <c r="A743" s="101"/>
      <c r="B743" s="98"/>
    </row>
    <row r="744">
      <c r="A744" s="101"/>
      <c r="B744" s="98"/>
    </row>
    <row r="745">
      <c r="A745" s="101"/>
      <c r="B745" s="98"/>
    </row>
    <row r="746">
      <c r="A746" s="101"/>
      <c r="B746" s="98"/>
    </row>
    <row r="747">
      <c r="A747" s="101"/>
      <c r="B747" s="98"/>
    </row>
    <row r="748">
      <c r="A748" s="101"/>
      <c r="B748" s="98"/>
    </row>
    <row r="749">
      <c r="A749" s="101"/>
      <c r="B749" s="98"/>
    </row>
    <row r="750">
      <c r="A750" s="101"/>
      <c r="B750" s="98"/>
    </row>
    <row r="751">
      <c r="A751" s="101"/>
      <c r="B751" s="98"/>
    </row>
    <row r="752">
      <c r="A752" s="101"/>
      <c r="B752" s="98"/>
    </row>
    <row r="753">
      <c r="A753" s="101"/>
      <c r="B753" s="98"/>
    </row>
    <row r="754">
      <c r="A754" s="101"/>
      <c r="B754" s="98"/>
    </row>
    <row r="755">
      <c r="A755" s="101"/>
      <c r="B755" s="98"/>
    </row>
    <row r="756">
      <c r="A756" s="101"/>
      <c r="B756" s="98"/>
    </row>
    <row r="757">
      <c r="A757" s="101"/>
      <c r="B757" s="98"/>
    </row>
    <row r="758">
      <c r="A758" s="101"/>
      <c r="B758" s="98"/>
    </row>
    <row r="759">
      <c r="A759" s="101"/>
      <c r="B759" s="98"/>
    </row>
    <row r="760">
      <c r="A760" s="101"/>
      <c r="B760" s="98"/>
    </row>
    <row r="761">
      <c r="A761" s="101"/>
      <c r="B761" s="98"/>
    </row>
    <row r="762">
      <c r="A762" s="101"/>
      <c r="B762" s="98"/>
    </row>
    <row r="763">
      <c r="A763" s="101"/>
      <c r="B763" s="98"/>
    </row>
    <row r="764">
      <c r="A764" s="101"/>
      <c r="B764" s="98"/>
    </row>
    <row r="765">
      <c r="A765" s="101"/>
      <c r="B765" s="98"/>
    </row>
    <row r="766">
      <c r="A766" s="101"/>
      <c r="B766" s="98"/>
    </row>
    <row r="767">
      <c r="A767" s="101"/>
      <c r="B767" s="98"/>
    </row>
    <row r="768">
      <c r="A768" s="101"/>
      <c r="B768" s="98"/>
    </row>
    <row r="769">
      <c r="A769" s="101"/>
      <c r="B769" s="98"/>
    </row>
    <row r="770">
      <c r="A770" s="101"/>
      <c r="B770" s="98"/>
    </row>
    <row r="771">
      <c r="A771" s="101"/>
      <c r="B771" s="98"/>
    </row>
    <row r="772">
      <c r="A772" s="101"/>
      <c r="B772" s="98"/>
    </row>
    <row r="773">
      <c r="A773" s="101"/>
      <c r="B773" s="98"/>
    </row>
    <row r="774">
      <c r="A774" s="101"/>
      <c r="B774" s="98"/>
    </row>
    <row r="775">
      <c r="A775" s="101"/>
      <c r="B775" s="98"/>
    </row>
    <row r="776">
      <c r="A776" s="101"/>
      <c r="B776" s="98"/>
    </row>
    <row r="777">
      <c r="A777" s="101"/>
      <c r="B777" s="98"/>
    </row>
    <row r="778">
      <c r="A778" s="101"/>
      <c r="B778" s="98"/>
    </row>
    <row r="779">
      <c r="A779" s="101"/>
      <c r="B779" s="98"/>
    </row>
    <row r="780">
      <c r="A780" s="101"/>
      <c r="B780" s="98"/>
    </row>
    <row r="781">
      <c r="A781" s="101"/>
      <c r="B781" s="98"/>
    </row>
    <row r="782">
      <c r="A782" s="101"/>
      <c r="B782" s="98"/>
    </row>
    <row r="783">
      <c r="A783" s="101"/>
      <c r="B783" s="98"/>
    </row>
    <row r="784">
      <c r="A784" s="101"/>
      <c r="B784" s="98"/>
    </row>
    <row r="785">
      <c r="A785" s="101"/>
      <c r="B785" s="98"/>
    </row>
    <row r="786">
      <c r="A786" s="101"/>
      <c r="B786" s="98"/>
    </row>
    <row r="787">
      <c r="A787" s="101"/>
      <c r="B787" s="98"/>
    </row>
    <row r="788">
      <c r="A788" s="101"/>
      <c r="B788" s="98"/>
    </row>
    <row r="789">
      <c r="A789" s="101"/>
      <c r="B789" s="98"/>
    </row>
    <row r="790">
      <c r="A790" s="101"/>
      <c r="B790" s="98"/>
    </row>
    <row r="791">
      <c r="A791" s="101"/>
      <c r="B791" s="98"/>
    </row>
    <row r="792">
      <c r="A792" s="101"/>
      <c r="B792" s="98"/>
    </row>
    <row r="793">
      <c r="A793" s="101"/>
      <c r="B793" s="98"/>
    </row>
    <row r="794">
      <c r="A794" s="101"/>
      <c r="B794" s="98"/>
    </row>
    <row r="795">
      <c r="A795" s="101"/>
      <c r="B795" s="98"/>
    </row>
    <row r="796">
      <c r="A796" s="101"/>
      <c r="B796" s="98"/>
    </row>
    <row r="797">
      <c r="A797" s="101"/>
      <c r="B797" s="98"/>
    </row>
    <row r="798">
      <c r="A798" s="101"/>
      <c r="B798" s="98"/>
    </row>
    <row r="799">
      <c r="A799" s="101"/>
      <c r="B799" s="98"/>
    </row>
    <row r="800">
      <c r="A800" s="101"/>
      <c r="B800" s="98"/>
    </row>
    <row r="801">
      <c r="A801" s="101"/>
      <c r="B801" s="98"/>
    </row>
    <row r="802">
      <c r="A802" s="101"/>
      <c r="B802" s="98"/>
    </row>
    <row r="803">
      <c r="A803" s="101"/>
      <c r="B803" s="98"/>
    </row>
    <row r="804">
      <c r="A804" s="101"/>
      <c r="B804" s="98"/>
    </row>
    <row r="805">
      <c r="A805" s="101"/>
      <c r="B805" s="98"/>
    </row>
    <row r="806">
      <c r="A806" s="101"/>
      <c r="B806" s="98"/>
    </row>
    <row r="807">
      <c r="A807" s="101"/>
      <c r="B807" s="98"/>
    </row>
    <row r="808">
      <c r="A808" s="101"/>
      <c r="B808" s="98"/>
    </row>
    <row r="809">
      <c r="A809" s="101"/>
      <c r="B809" s="98"/>
    </row>
    <row r="810">
      <c r="A810" s="101"/>
      <c r="B810" s="98"/>
    </row>
    <row r="811">
      <c r="A811" s="101"/>
      <c r="B811" s="98"/>
    </row>
    <row r="812">
      <c r="A812" s="101"/>
      <c r="B812" s="98"/>
    </row>
    <row r="813">
      <c r="A813" s="101"/>
      <c r="B813" s="98"/>
    </row>
    <row r="814">
      <c r="A814" s="101"/>
      <c r="B814" s="98"/>
    </row>
    <row r="815">
      <c r="A815" s="101"/>
      <c r="B815" s="98"/>
    </row>
    <row r="816">
      <c r="A816" s="101"/>
      <c r="B816" s="98"/>
    </row>
    <row r="817">
      <c r="A817" s="101"/>
      <c r="B817" s="98"/>
    </row>
    <row r="818">
      <c r="A818" s="101"/>
      <c r="B818" s="98"/>
    </row>
    <row r="819">
      <c r="A819" s="101"/>
      <c r="B819" s="98"/>
    </row>
    <row r="820">
      <c r="A820" s="101"/>
      <c r="B820" s="98"/>
    </row>
    <row r="821">
      <c r="A821" s="101"/>
      <c r="B821" s="98"/>
    </row>
    <row r="822">
      <c r="A822" s="101"/>
      <c r="B822" s="98"/>
    </row>
    <row r="823">
      <c r="A823" s="101"/>
      <c r="B823" s="98"/>
    </row>
    <row r="824">
      <c r="A824" s="101"/>
      <c r="B824" s="98"/>
    </row>
    <row r="825">
      <c r="A825" s="101"/>
      <c r="B825" s="98"/>
    </row>
    <row r="826">
      <c r="A826" s="101"/>
      <c r="B826" s="98"/>
    </row>
    <row r="827">
      <c r="A827" s="101"/>
      <c r="B827" s="98"/>
    </row>
    <row r="828">
      <c r="A828" s="101"/>
      <c r="B828" s="98"/>
    </row>
    <row r="829">
      <c r="A829" s="101"/>
      <c r="B829" s="98"/>
    </row>
    <row r="830">
      <c r="A830" s="101"/>
      <c r="B830" s="98"/>
    </row>
    <row r="831">
      <c r="A831" s="101"/>
      <c r="B831" s="98"/>
    </row>
    <row r="832">
      <c r="A832" s="101"/>
      <c r="B832" s="98"/>
    </row>
    <row r="833">
      <c r="A833" s="101"/>
      <c r="B833" s="98"/>
    </row>
    <row r="834">
      <c r="A834" s="101"/>
      <c r="B834" s="98"/>
    </row>
    <row r="835">
      <c r="A835" s="101"/>
      <c r="B835" s="98"/>
    </row>
    <row r="836">
      <c r="A836" s="101"/>
      <c r="B836" s="98"/>
    </row>
    <row r="837">
      <c r="A837" s="101"/>
      <c r="B837" s="98"/>
    </row>
    <row r="838">
      <c r="A838" s="101"/>
      <c r="B838" s="98"/>
    </row>
    <row r="839">
      <c r="A839" s="101"/>
      <c r="B839" s="98"/>
    </row>
    <row r="840">
      <c r="A840" s="101"/>
      <c r="B840" s="98"/>
    </row>
    <row r="841">
      <c r="A841" s="101"/>
      <c r="B841" s="98"/>
    </row>
    <row r="842">
      <c r="A842" s="101"/>
      <c r="B842" s="98"/>
    </row>
    <row r="843">
      <c r="A843" s="101"/>
      <c r="B843" s="98"/>
    </row>
    <row r="844">
      <c r="A844" s="101"/>
      <c r="B844" s="98"/>
    </row>
    <row r="845">
      <c r="A845" s="101"/>
      <c r="B845" s="98"/>
    </row>
    <row r="846">
      <c r="A846" s="101"/>
      <c r="B846" s="98"/>
    </row>
    <row r="847">
      <c r="A847" s="101"/>
      <c r="B847" s="98"/>
    </row>
    <row r="848">
      <c r="A848" s="101"/>
      <c r="B848" s="98"/>
    </row>
    <row r="849">
      <c r="A849" s="101"/>
      <c r="B849" s="98"/>
    </row>
    <row r="850">
      <c r="A850" s="101"/>
      <c r="B850" s="98"/>
    </row>
    <row r="851">
      <c r="A851" s="101"/>
      <c r="B851" s="98"/>
    </row>
    <row r="852">
      <c r="A852" s="101"/>
      <c r="B852" s="98"/>
    </row>
    <row r="853">
      <c r="A853" s="101"/>
      <c r="B853" s="98"/>
    </row>
    <row r="854">
      <c r="A854" s="101"/>
      <c r="B854" s="98"/>
    </row>
    <row r="855">
      <c r="A855" s="101"/>
      <c r="B855" s="98"/>
    </row>
    <row r="856">
      <c r="A856" s="101"/>
      <c r="B856" s="98"/>
    </row>
    <row r="857">
      <c r="A857" s="101"/>
      <c r="B857" s="98"/>
    </row>
    <row r="858">
      <c r="A858" s="101"/>
      <c r="B858" s="98"/>
    </row>
    <row r="859">
      <c r="A859" s="101"/>
      <c r="B859" s="98"/>
    </row>
    <row r="860">
      <c r="A860" s="101"/>
      <c r="B860" s="98"/>
    </row>
    <row r="861">
      <c r="A861" s="101"/>
      <c r="B861" s="98"/>
    </row>
    <row r="862">
      <c r="A862" s="101"/>
      <c r="B862" s="98"/>
    </row>
    <row r="863">
      <c r="A863" s="101"/>
      <c r="B863" s="98"/>
    </row>
    <row r="864">
      <c r="A864" s="101"/>
      <c r="B864" s="98"/>
    </row>
    <row r="865">
      <c r="A865" s="101"/>
      <c r="B865" s="98"/>
    </row>
    <row r="866">
      <c r="A866" s="101"/>
      <c r="B866" s="98"/>
    </row>
    <row r="867">
      <c r="A867" s="101"/>
      <c r="B867" s="98"/>
    </row>
    <row r="868">
      <c r="A868" s="101"/>
      <c r="B868" s="98"/>
    </row>
    <row r="869">
      <c r="A869" s="101"/>
      <c r="B869" s="98"/>
    </row>
    <row r="870">
      <c r="A870" s="101"/>
      <c r="B870" s="98"/>
    </row>
    <row r="871">
      <c r="A871" s="101"/>
      <c r="B871" s="98"/>
    </row>
    <row r="872">
      <c r="A872" s="101"/>
      <c r="B872" s="98"/>
    </row>
    <row r="873">
      <c r="A873" s="101"/>
      <c r="B873" s="98"/>
    </row>
    <row r="874">
      <c r="A874" s="101"/>
      <c r="B874" s="98"/>
    </row>
    <row r="875">
      <c r="A875" s="101"/>
      <c r="B875" s="98"/>
    </row>
    <row r="876">
      <c r="A876" s="101"/>
      <c r="B876" s="98"/>
    </row>
    <row r="877">
      <c r="A877" s="101"/>
      <c r="B877" s="98"/>
    </row>
    <row r="878">
      <c r="A878" s="101"/>
      <c r="B878" s="98"/>
    </row>
    <row r="879">
      <c r="A879" s="101"/>
      <c r="B879" s="98"/>
    </row>
    <row r="880">
      <c r="A880" s="101"/>
      <c r="B880" s="98"/>
    </row>
    <row r="881">
      <c r="A881" s="101"/>
      <c r="B881" s="98"/>
    </row>
    <row r="882">
      <c r="A882" s="101"/>
      <c r="B882" s="98"/>
    </row>
    <row r="883">
      <c r="A883" s="101"/>
      <c r="B883" s="98"/>
    </row>
    <row r="884">
      <c r="A884" s="101"/>
      <c r="B884" s="98"/>
    </row>
    <row r="885">
      <c r="A885" s="101"/>
      <c r="B885" s="98"/>
    </row>
    <row r="886">
      <c r="A886" s="101"/>
      <c r="B886" s="98"/>
    </row>
    <row r="887">
      <c r="A887" s="101"/>
      <c r="B887" s="98"/>
    </row>
    <row r="888">
      <c r="A888" s="101"/>
      <c r="B888" s="98"/>
    </row>
    <row r="889">
      <c r="A889" s="101"/>
      <c r="B889" s="98"/>
    </row>
    <row r="890">
      <c r="A890" s="101"/>
      <c r="B890" s="98"/>
    </row>
    <row r="891">
      <c r="A891" s="101"/>
      <c r="B891" s="98"/>
    </row>
    <row r="892">
      <c r="A892" s="101"/>
      <c r="B892" s="98"/>
    </row>
    <row r="893">
      <c r="A893" s="101"/>
      <c r="B893" s="98"/>
    </row>
    <row r="894">
      <c r="A894" s="101"/>
      <c r="B894" s="98"/>
    </row>
    <row r="895">
      <c r="A895" s="101"/>
      <c r="B895" s="98"/>
    </row>
    <row r="896">
      <c r="A896" s="101"/>
      <c r="B896" s="98"/>
    </row>
    <row r="897">
      <c r="A897" s="101"/>
      <c r="B897" s="98"/>
    </row>
    <row r="898">
      <c r="A898" s="101"/>
      <c r="B898" s="98"/>
    </row>
    <row r="899">
      <c r="A899" s="101"/>
      <c r="B899" s="98"/>
    </row>
    <row r="900">
      <c r="A900" s="101"/>
      <c r="B900" s="98"/>
    </row>
    <row r="901">
      <c r="A901" s="101"/>
      <c r="B901" s="98"/>
    </row>
    <row r="902">
      <c r="A902" s="101"/>
      <c r="B902" s="98"/>
    </row>
    <row r="903">
      <c r="A903" s="101"/>
      <c r="B903" s="98"/>
    </row>
    <row r="904">
      <c r="A904" s="101"/>
      <c r="B904" s="98"/>
    </row>
    <row r="905">
      <c r="A905" s="101"/>
      <c r="B905" s="98"/>
    </row>
    <row r="906">
      <c r="A906" s="101"/>
      <c r="B906" s="98"/>
    </row>
    <row r="907">
      <c r="A907" s="101"/>
      <c r="B907" s="98"/>
    </row>
    <row r="908">
      <c r="A908" s="101"/>
      <c r="B908" s="98"/>
    </row>
    <row r="909">
      <c r="A909" s="101"/>
      <c r="B909" s="98"/>
    </row>
    <row r="910">
      <c r="A910" s="101"/>
      <c r="B910" s="98"/>
    </row>
    <row r="911">
      <c r="A911" s="101"/>
      <c r="B911" s="98"/>
    </row>
    <row r="912">
      <c r="A912" s="101"/>
      <c r="B912" s="98"/>
    </row>
    <row r="913">
      <c r="A913" s="101"/>
      <c r="B913" s="98"/>
    </row>
    <row r="914">
      <c r="A914" s="101"/>
      <c r="B914" s="98"/>
    </row>
    <row r="915">
      <c r="A915" s="101"/>
      <c r="B915" s="98"/>
    </row>
    <row r="916">
      <c r="A916" s="101"/>
      <c r="B916" s="98"/>
    </row>
    <row r="917">
      <c r="A917" s="101"/>
      <c r="B917" s="98"/>
    </row>
    <row r="918">
      <c r="A918" s="101"/>
      <c r="B918" s="98"/>
    </row>
    <row r="919">
      <c r="A919" s="101"/>
      <c r="B919" s="98"/>
    </row>
    <row r="920">
      <c r="A920" s="101"/>
      <c r="B920" s="98"/>
    </row>
    <row r="921">
      <c r="A921" s="101"/>
      <c r="B921" s="98"/>
    </row>
    <row r="922">
      <c r="A922" s="101"/>
      <c r="B922" s="98"/>
    </row>
    <row r="923">
      <c r="A923" s="101"/>
      <c r="B923" s="98"/>
    </row>
    <row r="924">
      <c r="A924" s="101"/>
      <c r="B924" s="98"/>
    </row>
    <row r="925">
      <c r="A925" s="101"/>
      <c r="B925" s="98"/>
    </row>
    <row r="926">
      <c r="A926" s="101"/>
      <c r="B926" s="98"/>
    </row>
    <row r="927">
      <c r="A927" s="101"/>
      <c r="B927" s="98"/>
    </row>
    <row r="928">
      <c r="A928" s="101"/>
      <c r="B928" s="98"/>
    </row>
    <row r="929">
      <c r="A929" s="101"/>
      <c r="B929" s="98"/>
    </row>
    <row r="930">
      <c r="A930" s="101"/>
      <c r="B930" s="98"/>
    </row>
    <row r="931">
      <c r="A931" s="101"/>
      <c r="B931" s="98"/>
    </row>
    <row r="932">
      <c r="A932" s="101"/>
      <c r="B932" s="98"/>
    </row>
    <row r="933">
      <c r="A933" s="101"/>
      <c r="B933" s="98"/>
    </row>
    <row r="934">
      <c r="A934" s="101"/>
      <c r="B934" s="98"/>
    </row>
    <row r="935">
      <c r="A935" s="101"/>
      <c r="B935" s="98"/>
    </row>
    <row r="936">
      <c r="A936" s="101"/>
      <c r="B936" s="98"/>
    </row>
    <row r="937">
      <c r="A937" s="101"/>
      <c r="B937" s="98"/>
    </row>
    <row r="938">
      <c r="A938" s="101"/>
      <c r="B938" s="98"/>
    </row>
    <row r="939">
      <c r="A939" s="101"/>
      <c r="B939" s="98"/>
    </row>
    <row r="940">
      <c r="A940" s="101"/>
      <c r="B940" s="98"/>
    </row>
    <row r="941">
      <c r="A941" s="101"/>
      <c r="B941" s="98"/>
    </row>
    <row r="942">
      <c r="A942" s="101"/>
      <c r="B942" s="98"/>
    </row>
    <row r="943">
      <c r="A943" s="101"/>
      <c r="B943" s="98"/>
    </row>
    <row r="944">
      <c r="A944" s="101"/>
      <c r="B944" s="98"/>
    </row>
    <row r="945">
      <c r="A945" s="101"/>
      <c r="B945" s="98"/>
    </row>
    <row r="946">
      <c r="A946" s="101"/>
      <c r="B946" s="98"/>
    </row>
    <row r="947">
      <c r="A947" s="101"/>
      <c r="B947" s="98"/>
    </row>
    <row r="948">
      <c r="A948" s="101"/>
      <c r="B948" s="98"/>
    </row>
    <row r="949">
      <c r="A949" s="101"/>
      <c r="B949" s="98"/>
    </row>
    <row r="950">
      <c r="A950" s="101"/>
      <c r="B950" s="98"/>
    </row>
    <row r="951">
      <c r="A951" s="101"/>
      <c r="B951" s="98"/>
    </row>
    <row r="952">
      <c r="A952" s="101"/>
      <c r="B952" s="98"/>
    </row>
    <row r="953">
      <c r="A953" s="101"/>
      <c r="B953" s="98"/>
    </row>
    <row r="954">
      <c r="A954" s="101"/>
      <c r="B954" s="98"/>
    </row>
    <row r="955">
      <c r="A955" s="101"/>
      <c r="B955" s="98"/>
    </row>
    <row r="956">
      <c r="A956" s="101"/>
      <c r="B956" s="98"/>
    </row>
    <row r="957">
      <c r="A957" s="101"/>
      <c r="B957" s="98"/>
    </row>
    <row r="958">
      <c r="A958" s="101"/>
      <c r="B958" s="98"/>
    </row>
    <row r="959">
      <c r="A959" s="101"/>
      <c r="B959" s="98"/>
    </row>
    <row r="960">
      <c r="A960" s="101"/>
      <c r="B960" s="98"/>
    </row>
    <row r="961">
      <c r="A961" s="101"/>
      <c r="B961" s="98"/>
    </row>
    <row r="962">
      <c r="A962" s="101"/>
      <c r="B962" s="98"/>
    </row>
    <row r="963">
      <c r="A963" s="101"/>
      <c r="B963" s="98"/>
    </row>
    <row r="964">
      <c r="A964" s="101"/>
      <c r="B964" s="98"/>
    </row>
    <row r="965">
      <c r="A965" s="101"/>
      <c r="B965" s="98"/>
    </row>
    <row r="966">
      <c r="A966" s="101"/>
      <c r="B966" s="98"/>
    </row>
    <row r="967">
      <c r="A967" s="101"/>
      <c r="B967" s="98"/>
    </row>
    <row r="968">
      <c r="A968" s="101"/>
      <c r="B968" s="98"/>
    </row>
    <row r="969">
      <c r="A969" s="101"/>
      <c r="B969" s="98"/>
    </row>
    <row r="970">
      <c r="A970" s="101"/>
      <c r="B970" s="98"/>
    </row>
    <row r="971">
      <c r="A971" s="101"/>
      <c r="B971" s="98"/>
    </row>
    <row r="972">
      <c r="A972" s="101"/>
      <c r="B972" s="98"/>
    </row>
    <row r="973">
      <c r="A973" s="101"/>
      <c r="B973" s="98"/>
    </row>
    <row r="974">
      <c r="A974" s="101"/>
      <c r="B974" s="98"/>
    </row>
    <row r="975">
      <c r="A975" s="101"/>
      <c r="B975" s="98"/>
    </row>
    <row r="976">
      <c r="A976" s="101"/>
      <c r="B976" s="98"/>
    </row>
    <row r="977">
      <c r="A977" s="101"/>
      <c r="B977" s="98"/>
    </row>
    <row r="978">
      <c r="A978" s="101"/>
      <c r="B978" s="98"/>
    </row>
    <row r="979">
      <c r="A979" s="101"/>
      <c r="B979" s="98"/>
    </row>
    <row r="980">
      <c r="A980" s="101"/>
      <c r="B980" s="98"/>
    </row>
    <row r="981">
      <c r="A981" s="101"/>
      <c r="B981" s="98"/>
    </row>
    <row r="982">
      <c r="A982" s="101"/>
      <c r="B982" s="98"/>
    </row>
    <row r="983">
      <c r="A983" s="101"/>
      <c r="B983" s="98"/>
    </row>
    <row r="984">
      <c r="A984" s="101"/>
      <c r="B984" s="98"/>
    </row>
    <row r="985">
      <c r="A985" s="101"/>
      <c r="B985" s="98"/>
    </row>
    <row r="986">
      <c r="A986" s="101"/>
      <c r="B986" s="98"/>
    </row>
    <row r="987">
      <c r="A987" s="101"/>
      <c r="B987" s="98"/>
    </row>
    <row r="988">
      <c r="A988" s="101"/>
      <c r="B988" s="98"/>
    </row>
    <row r="989">
      <c r="A989" s="101"/>
      <c r="B989" s="98"/>
    </row>
    <row r="990">
      <c r="A990" s="101"/>
      <c r="B990" s="98"/>
    </row>
    <row r="991">
      <c r="A991" s="101"/>
      <c r="B991" s="98"/>
    </row>
    <row r="992">
      <c r="A992" s="101"/>
      <c r="B992" s="98"/>
    </row>
    <row r="993">
      <c r="A993" s="101"/>
      <c r="B993" s="98"/>
    </row>
    <row r="994">
      <c r="A994" s="101"/>
      <c r="B994" s="98"/>
    </row>
    <row r="995">
      <c r="A995" s="101"/>
      <c r="B995" s="98"/>
    </row>
    <row r="996">
      <c r="A996" s="101"/>
      <c r="B996" s="98"/>
    </row>
    <row r="997">
      <c r="A997" s="101"/>
      <c r="B997" s="98"/>
    </row>
    <row r="998">
      <c r="A998" s="101"/>
      <c r="B998" s="98"/>
    </row>
    <row r="999">
      <c r="A999" s="101"/>
      <c r="B999" s="98"/>
    </row>
    <row r="1000">
      <c r="A1000" s="101"/>
      <c r="B1000" s="98"/>
    </row>
    <row r="1001">
      <c r="A1001" s="101"/>
      <c r="B1001" s="98"/>
    </row>
    <row r="1002">
      <c r="A1002" s="101"/>
      <c r="B1002" s="98"/>
    </row>
    <row r="1003">
      <c r="A1003" s="101"/>
      <c r="B1003" s="98"/>
    </row>
    <row r="1004">
      <c r="A1004" s="101"/>
      <c r="B1004" s="98"/>
    </row>
    <row r="1005">
      <c r="A1005" s="101"/>
      <c r="B1005" s="98"/>
    </row>
    <row r="1006">
      <c r="A1006" s="101"/>
      <c r="B1006" s="98"/>
    </row>
    <row r="1007">
      <c r="A1007" s="101"/>
      <c r="B1007" s="98"/>
    </row>
    <row r="1008">
      <c r="A1008" s="101"/>
      <c r="B1008" s="98"/>
    </row>
    <row r="1009">
      <c r="A1009" s="101"/>
      <c r="B1009" s="98"/>
    </row>
    <row r="1010">
      <c r="A1010" s="101"/>
      <c r="B1010" s="98"/>
    </row>
    <row r="1011">
      <c r="A1011" s="101"/>
      <c r="B1011" s="98"/>
    </row>
    <row r="1012">
      <c r="A1012" s="101"/>
      <c r="B1012" s="98"/>
    </row>
    <row r="1013">
      <c r="A1013" s="101"/>
      <c r="B1013" s="98"/>
    </row>
    <row r="1014">
      <c r="A1014" s="101"/>
      <c r="B1014" s="98"/>
    </row>
    <row r="1015">
      <c r="A1015" s="101"/>
      <c r="B1015" s="98"/>
    </row>
    <row r="1016">
      <c r="A1016" s="101"/>
      <c r="B1016" s="98"/>
    </row>
    <row r="1017">
      <c r="A1017" s="101"/>
      <c r="B1017" s="98"/>
    </row>
    <row r="1018">
      <c r="A1018" s="101"/>
      <c r="B1018" s="98"/>
    </row>
    <row r="1019">
      <c r="A1019" s="101"/>
      <c r="B1019" s="98"/>
    </row>
    <row r="1020">
      <c r="A1020" s="101"/>
      <c r="B1020" s="98"/>
    </row>
    <row r="1021">
      <c r="A1021" s="101"/>
      <c r="B1021" s="98"/>
    </row>
    <row r="1022">
      <c r="A1022" s="101"/>
      <c r="B1022" s="98"/>
    </row>
    <row r="1023">
      <c r="A1023" s="101"/>
      <c r="B1023" s="98"/>
    </row>
    <row r="1024">
      <c r="A1024" s="101"/>
      <c r="B1024" s="98"/>
    </row>
    <row r="1025">
      <c r="A1025" s="101"/>
      <c r="B1025" s="98"/>
    </row>
    <row r="1026">
      <c r="A1026" s="101"/>
      <c r="B1026" s="98"/>
    </row>
    <row r="1027">
      <c r="A1027" s="101"/>
      <c r="B1027" s="98"/>
    </row>
    <row r="1028">
      <c r="A1028" s="101"/>
      <c r="B1028" s="98"/>
    </row>
    <row r="1029">
      <c r="A1029" s="101"/>
      <c r="B1029" s="98"/>
    </row>
    <row r="1030">
      <c r="A1030" s="101"/>
      <c r="B1030" s="98"/>
    </row>
    <row r="1031">
      <c r="A1031" s="101"/>
      <c r="B1031" s="98"/>
    </row>
    <row r="1032">
      <c r="A1032" s="101"/>
      <c r="B1032" s="98"/>
    </row>
    <row r="1033">
      <c r="A1033" s="101"/>
      <c r="B1033" s="98"/>
    </row>
    <row r="1034">
      <c r="A1034" s="101"/>
      <c r="B1034" s="98"/>
    </row>
    <row r="1035">
      <c r="A1035" s="101"/>
      <c r="B1035" s="98"/>
    </row>
    <row r="1036">
      <c r="A1036" s="101"/>
      <c r="B1036" s="98"/>
    </row>
    <row r="1037">
      <c r="A1037" s="101"/>
      <c r="B1037" s="98"/>
    </row>
    <row r="1038">
      <c r="A1038" s="101"/>
      <c r="B1038" s="98"/>
    </row>
    <row r="1039">
      <c r="A1039" s="101"/>
      <c r="B1039" s="98"/>
    </row>
    <row r="1040">
      <c r="A1040" s="101"/>
      <c r="B1040" s="98"/>
    </row>
    <row r="1041">
      <c r="A1041" s="101"/>
      <c r="B1041" s="98"/>
    </row>
    <row r="1042">
      <c r="A1042" s="101"/>
      <c r="B1042" s="98"/>
    </row>
    <row r="1043">
      <c r="A1043" s="101"/>
      <c r="B1043" s="98"/>
    </row>
    <row r="1044">
      <c r="A1044" s="101"/>
      <c r="B1044" s="98"/>
    </row>
    <row r="1045">
      <c r="A1045" s="101"/>
      <c r="B1045" s="98"/>
    </row>
    <row r="1046">
      <c r="A1046" s="101"/>
      <c r="B1046" s="98"/>
    </row>
    <row r="1047">
      <c r="A1047" s="101"/>
      <c r="B1047" s="98"/>
    </row>
    <row r="1048">
      <c r="A1048" s="101"/>
      <c r="B1048" s="98"/>
    </row>
    <row r="1049">
      <c r="A1049" s="101"/>
      <c r="B1049" s="98"/>
    </row>
    <row r="1050">
      <c r="A1050" s="101"/>
      <c r="B1050" s="98"/>
    </row>
    <row r="1051">
      <c r="A1051" s="101"/>
      <c r="B1051" s="98"/>
    </row>
    <row r="1052">
      <c r="A1052" s="101"/>
      <c r="B1052" s="98"/>
    </row>
    <row r="1053">
      <c r="A1053" s="101"/>
      <c r="B1053" s="98"/>
    </row>
    <row r="1054">
      <c r="A1054" s="101"/>
      <c r="B1054" s="98"/>
    </row>
    <row r="1055">
      <c r="A1055" s="101"/>
      <c r="B1055" s="98"/>
    </row>
    <row r="1056">
      <c r="A1056" s="101"/>
      <c r="B1056" s="98"/>
    </row>
    <row r="1057">
      <c r="A1057" s="101"/>
      <c r="B1057" s="98"/>
    </row>
    <row r="1058">
      <c r="A1058" s="101"/>
      <c r="B1058" s="98"/>
    </row>
    <row r="1059">
      <c r="A1059" s="101"/>
      <c r="B1059" s="98"/>
    </row>
    <row r="1060">
      <c r="A1060" s="101"/>
      <c r="B1060" s="98"/>
    </row>
    <row r="1061">
      <c r="A1061" s="101"/>
      <c r="B1061" s="98"/>
    </row>
    <row r="1062">
      <c r="A1062" s="101"/>
      <c r="B1062" s="98"/>
    </row>
    <row r="1063">
      <c r="A1063" s="101"/>
      <c r="B1063" s="98"/>
    </row>
    <row r="1064">
      <c r="A1064" s="101"/>
      <c r="B1064" s="98"/>
    </row>
    <row r="1065">
      <c r="A1065" s="101"/>
      <c r="B1065" s="98"/>
    </row>
    <row r="1066">
      <c r="A1066" s="101"/>
      <c r="B1066" s="98"/>
    </row>
    <row r="1067">
      <c r="A1067" s="101"/>
      <c r="B1067" s="98"/>
    </row>
    <row r="1068">
      <c r="A1068" s="101"/>
      <c r="B1068" s="98"/>
    </row>
    <row r="1069">
      <c r="A1069" s="101"/>
      <c r="B1069" s="98"/>
    </row>
    <row r="1070">
      <c r="A1070" s="101"/>
      <c r="B1070" s="98"/>
    </row>
    <row r="1071">
      <c r="A1071" s="101"/>
      <c r="B1071" s="98"/>
    </row>
    <row r="1072">
      <c r="A1072" s="101"/>
      <c r="B1072" s="98"/>
    </row>
    <row r="1073">
      <c r="A1073" s="101"/>
      <c r="B1073" s="98"/>
    </row>
    <row r="1074">
      <c r="A1074" s="101"/>
      <c r="B1074" s="98"/>
    </row>
    <row r="1075">
      <c r="A1075" s="101"/>
      <c r="B1075" s="98"/>
    </row>
    <row r="1076">
      <c r="A1076" s="101"/>
      <c r="B1076" s="98"/>
    </row>
    <row r="1077">
      <c r="A1077" s="101"/>
      <c r="B1077" s="98"/>
    </row>
    <row r="1078">
      <c r="A1078" s="101"/>
      <c r="B1078" s="98"/>
    </row>
    <row r="1079">
      <c r="A1079" s="101"/>
      <c r="B1079" s="98"/>
    </row>
    <row r="1080">
      <c r="A1080" s="101"/>
      <c r="B1080" s="98"/>
    </row>
    <row r="1081">
      <c r="A1081" s="101"/>
      <c r="B1081" s="98"/>
    </row>
    <row r="1082">
      <c r="A1082" s="101"/>
      <c r="B1082" s="98"/>
    </row>
    <row r="1083">
      <c r="A1083" s="101"/>
      <c r="B1083" s="98"/>
    </row>
    <row r="1084">
      <c r="A1084" s="101"/>
      <c r="B1084" s="98"/>
    </row>
    <row r="1085">
      <c r="A1085" s="101"/>
      <c r="B1085" s="98"/>
    </row>
    <row r="1086">
      <c r="A1086" s="101"/>
      <c r="B1086" s="98"/>
    </row>
    <row r="1087">
      <c r="A1087" s="101"/>
      <c r="B1087" s="98"/>
    </row>
    <row r="1088">
      <c r="A1088" s="101"/>
      <c r="B1088" s="98"/>
    </row>
    <row r="1089">
      <c r="A1089" s="101"/>
      <c r="B1089" s="98"/>
    </row>
    <row r="1090">
      <c r="A1090" s="101"/>
      <c r="B1090" s="98"/>
    </row>
    <row r="1091">
      <c r="A1091" s="101"/>
      <c r="B1091" s="98"/>
    </row>
    <row r="1092">
      <c r="A1092" s="101"/>
      <c r="B1092" s="98"/>
    </row>
    <row r="1093">
      <c r="A1093" s="101"/>
      <c r="B1093" s="98"/>
    </row>
    <row r="1094">
      <c r="A1094" s="101"/>
      <c r="B1094" s="98"/>
    </row>
    <row r="1095">
      <c r="A1095" s="101"/>
      <c r="B1095" s="98"/>
    </row>
    <row r="1096">
      <c r="A1096" s="101"/>
      <c r="B1096" s="98"/>
    </row>
    <row r="1097">
      <c r="A1097" s="101"/>
      <c r="B1097" s="98"/>
    </row>
    <row r="1098">
      <c r="A1098" s="101"/>
      <c r="B1098" s="98"/>
    </row>
    <row r="1099">
      <c r="A1099" s="101"/>
      <c r="B1099" s="98"/>
    </row>
    <row r="1100">
      <c r="A1100" s="101"/>
      <c r="B1100" s="98"/>
    </row>
    <row r="1101">
      <c r="A1101" s="101"/>
      <c r="B1101" s="98"/>
    </row>
    <row r="1102">
      <c r="A1102" s="101"/>
      <c r="B1102" s="98"/>
    </row>
    <row r="1103">
      <c r="A1103" s="101"/>
      <c r="B1103" s="98"/>
    </row>
    <row r="1104">
      <c r="A1104" s="101"/>
      <c r="B1104" s="98"/>
    </row>
    <row r="1105">
      <c r="A1105" s="101"/>
      <c r="B1105" s="98"/>
    </row>
    <row r="1106">
      <c r="A1106" s="101"/>
      <c r="B1106" s="98"/>
    </row>
    <row r="1107">
      <c r="A1107" s="101"/>
      <c r="B1107" s="98"/>
    </row>
    <row r="1108">
      <c r="A1108" s="101"/>
      <c r="B1108" s="98"/>
    </row>
    <row r="1109">
      <c r="A1109" s="101"/>
      <c r="B1109" s="98"/>
    </row>
    <row r="1110">
      <c r="A1110" s="101"/>
      <c r="B1110" s="98"/>
    </row>
    <row r="1111">
      <c r="A1111" s="101"/>
      <c r="B1111" s="98"/>
    </row>
    <row r="1112">
      <c r="A1112" s="101"/>
      <c r="B1112" s="98"/>
    </row>
    <row r="1113">
      <c r="A1113" s="101"/>
      <c r="B1113" s="98"/>
    </row>
    <row r="1114">
      <c r="A1114" s="101"/>
      <c r="B1114" s="98"/>
    </row>
    <row r="1115">
      <c r="A1115" s="101"/>
      <c r="B1115" s="98"/>
    </row>
    <row r="1116">
      <c r="A1116" s="101"/>
      <c r="B1116" s="98"/>
    </row>
    <row r="1117">
      <c r="A1117" s="101"/>
      <c r="B1117" s="98"/>
    </row>
    <row r="1118">
      <c r="A1118" s="101"/>
      <c r="B1118" s="98"/>
    </row>
    <row r="1119">
      <c r="A1119" s="101"/>
      <c r="B1119" s="98"/>
    </row>
    <row r="1120">
      <c r="A1120" s="101"/>
      <c r="B1120" s="98"/>
    </row>
    <row r="1121">
      <c r="A1121" s="101"/>
      <c r="B1121" s="98"/>
    </row>
    <row r="1122">
      <c r="A1122" s="101"/>
      <c r="B1122" s="98"/>
    </row>
    <row r="1123">
      <c r="A1123" s="101"/>
      <c r="B1123" s="98"/>
    </row>
    <row r="1124">
      <c r="A1124" s="101"/>
      <c r="B1124" s="98"/>
    </row>
    <row r="1125">
      <c r="A1125" s="101"/>
      <c r="B1125" s="98"/>
    </row>
    <row r="1126">
      <c r="A1126" s="101"/>
      <c r="B1126" s="98"/>
    </row>
    <row r="1127">
      <c r="A1127" s="101"/>
      <c r="B1127" s="98"/>
    </row>
    <row r="1128">
      <c r="A1128" s="101"/>
      <c r="B1128" s="98"/>
    </row>
    <row r="1129">
      <c r="A1129" s="101"/>
      <c r="B1129" s="98"/>
    </row>
    <row r="1130">
      <c r="A1130" s="101"/>
      <c r="B1130" s="98"/>
    </row>
    <row r="1131">
      <c r="A1131" s="101"/>
      <c r="B1131" s="98"/>
    </row>
    <row r="1132">
      <c r="A1132" s="101"/>
      <c r="B1132" s="98"/>
    </row>
    <row r="1133">
      <c r="A1133" s="101"/>
      <c r="B1133" s="98"/>
    </row>
    <row r="1134">
      <c r="A1134" s="101"/>
      <c r="B1134" s="98"/>
    </row>
    <row r="1135">
      <c r="A1135" s="101"/>
      <c r="B1135" s="98"/>
    </row>
    <row r="1136">
      <c r="A1136" s="101"/>
      <c r="B1136" s="98"/>
    </row>
    <row r="1137">
      <c r="A1137" s="101"/>
      <c r="B1137" s="98"/>
    </row>
    <row r="1138">
      <c r="A1138" s="101"/>
      <c r="B1138" s="98"/>
    </row>
    <row r="1139">
      <c r="A1139" s="101"/>
      <c r="B1139" s="98"/>
    </row>
    <row r="1140">
      <c r="A1140" s="101"/>
      <c r="B1140" s="98"/>
    </row>
    <row r="1141">
      <c r="A1141" s="101"/>
      <c r="B1141" s="98"/>
    </row>
    <row r="1142">
      <c r="A1142" s="101"/>
      <c r="B1142" s="98"/>
    </row>
    <row r="1143">
      <c r="A1143" s="101"/>
      <c r="B1143" s="98"/>
    </row>
    <row r="1144">
      <c r="A1144" s="101"/>
      <c r="B1144" s="98"/>
    </row>
    <row r="1145">
      <c r="A1145" s="101"/>
      <c r="B1145" s="98"/>
    </row>
    <row r="1146">
      <c r="A1146" s="101"/>
      <c r="B1146" s="98"/>
    </row>
    <row r="1147">
      <c r="A1147" s="101"/>
      <c r="B1147" s="98"/>
    </row>
    <row r="1148">
      <c r="A1148" s="101"/>
      <c r="B1148" s="98"/>
    </row>
    <row r="1149">
      <c r="A1149" s="101"/>
      <c r="B1149" s="98"/>
    </row>
    <row r="1150">
      <c r="A1150" s="101"/>
      <c r="B1150" s="98"/>
    </row>
    <row r="1151">
      <c r="A1151" s="101"/>
      <c r="B1151" s="98"/>
    </row>
    <row r="1152">
      <c r="A1152" s="101"/>
      <c r="B1152" s="98"/>
    </row>
    <row r="1153">
      <c r="A1153" s="101"/>
      <c r="B1153" s="98"/>
    </row>
    <row r="1154">
      <c r="A1154" s="101"/>
      <c r="B1154" s="98"/>
    </row>
    <row r="1155">
      <c r="A1155" s="101"/>
      <c r="B1155" s="98"/>
    </row>
    <row r="1156">
      <c r="A1156" s="101"/>
      <c r="B1156" s="98"/>
    </row>
    <row r="1157">
      <c r="A1157" s="101"/>
      <c r="B1157" s="98"/>
    </row>
    <row r="1158">
      <c r="A1158" s="101"/>
      <c r="B1158" s="98"/>
    </row>
    <row r="1159">
      <c r="A1159" s="101"/>
      <c r="B1159" s="98"/>
    </row>
    <row r="1160">
      <c r="A1160" s="101"/>
      <c r="B1160" s="98"/>
    </row>
    <row r="1161">
      <c r="A1161" s="101"/>
      <c r="B1161" s="98"/>
    </row>
    <row r="1162">
      <c r="A1162" s="101"/>
      <c r="B1162" s="98"/>
    </row>
    <row r="1163">
      <c r="A1163" s="101"/>
      <c r="B1163" s="98"/>
    </row>
    <row r="1164">
      <c r="A1164" s="101"/>
      <c r="B1164" s="98"/>
    </row>
    <row r="1165">
      <c r="A1165" s="101"/>
      <c r="B1165" s="98"/>
    </row>
    <row r="1166">
      <c r="A1166" s="101"/>
      <c r="B1166" s="98"/>
    </row>
    <row r="1167">
      <c r="A1167" s="101"/>
      <c r="B1167" s="98"/>
    </row>
    <row r="1168">
      <c r="A1168" s="101"/>
      <c r="B1168" s="98"/>
    </row>
    <row r="1169">
      <c r="A1169" s="101"/>
      <c r="B1169" s="98"/>
    </row>
    <row r="1170">
      <c r="A1170" s="101"/>
      <c r="B1170" s="98"/>
    </row>
    <row r="1171">
      <c r="A1171" s="101"/>
      <c r="B1171" s="98"/>
    </row>
    <row r="1172">
      <c r="A1172" s="101"/>
      <c r="B1172" s="98"/>
    </row>
    <row r="1173">
      <c r="A1173" s="101"/>
      <c r="B1173" s="98"/>
    </row>
    <row r="1174">
      <c r="A1174" s="101"/>
      <c r="B1174" s="98"/>
    </row>
    <row r="1175">
      <c r="A1175" s="101"/>
      <c r="B1175" s="98"/>
    </row>
    <row r="1176">
      <c r="A1176" s="101"/>
      <c r="B1176" s="98"/>
    </row>
  </sheetData>
  <mergeCells count="1">
    <mergeCell ref="A1:B1"/>
  </mergeCells>
  <conditionalFormatting sqref="A692:B697 A728:B733">
    <cfRule type="colorScale" priority="1">
      <colorScale>
        <cfvo type="min"/>
        <cfvo type="max"/>
        <color rgb="FFFFFFFF"/>
        <color rgb="FF57BB8A"/>
      </colorScale>
    </cfRule>
  </conditionalFormatting>
  <conditionalFormatting sqref="B401:B405 B409:B412 B692:B697 B728:B733">
    <cfRule type="cellIs" dxfId="0" priority="2" operator="equal">
      <formula>0</formula>
    </cfRule>
  </conditionalFormatting>
  <conditionalFormatting sqref="B401:B405">
    <cfRule type="cellIs" dxfId="0" priority="3" operator="equal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3.44" defaultRowHeight="15.0"/>
  <cols>
    <col customWidth="1" min="1" max="1" width="2.33"/>
    <col customWidth="1" min="2" max="2" width="17.67"/>
    <col customWidth="1" min="3" max="3" width="10.22"/>
    <col customWidth="1" min="4" max="4" width="14.11"/>
    <col customWidth="1" min="5" max="5" width="15.33"/>
    <col customWidth="1" min="6" max="6" width="21.67"/>
    <col customWidth="1" min="7" max="7" width="13.89"/>
    <col customWidth="1" min="8" max="8" width="19.44"/>
    <col customWidth="1" min="9" max="81" width="52.11"/>
  </cols>
  <sheetData>
    <row r="1" ht="21.0" customHeight="1">
      <c r="A1" s="43"/>
      <c r="B1" s="6"/>
      <c r="C1" s="102"/>
      <c r="D1" s="103"/>
      <c r="E1" s="8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</row>
    <row r="2" ht="21.0" customHeight="1">
      <c r="A2" s="43"/>
      <c r="B2" s="6" t="s">
        <v>1</v>
      </c>
      <c r="C2" s="102"/>
      <c r="D2" s="104" t="s">
        <v>816</v>
      </c>
      <c r="E2" s="8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 ht="21.0" customHeight="1">
      <c r="A3" s="43"/>
      <c r="B3" s="9"/>
      <c r="C3" s="105" t="s">
        <v>817</v>
      </c>
      <c r="D3" s="106" t="s">
        <v>2</v>
      </c>
      <c r="E3" s="11"/>
      <c r="F3" s="44"/>
      <c r="G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t="21.0" customHeight="1">
      <c r="A4" s="43"/>
      <c r="B4" s="107"/>
      <c r="C4" s="108"/>
      <c r="D4" s="108"/>
      <c r="E4" s="44"/>
      <c r="F4" s="44"/>
      <c r="G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 ht="56.25" customHeight="1">
      <c r="A5" s="43"/>
      <c r="B5" s="109" t="s">
        <v>818</v>
      </c>
      <c r="C5" s="110" t="s">
        <v>819</v>
      </c>
      <c r="D5" s="111"/>
      <c r="E5" s="44"/>
      <c r="F5" s="44"/>
      <c r="G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t="21.0" customHeight="1">
      <c r="A6" s="43"/>
      <c r="B6" s="107"/>
      <c r="C6" s="112"/>
      <c r="D6" s="108"/>
      <c r="E6" s="44"/>
      <c r="F6" s="44"/>
      <c r="G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 ht="21.0" customHeight="1">
      <c r="A7" s="43"/>
      <c r="B7" s="113" t="s">
        <v>820</v>
      </c>
      <c r="C7" s="114" t="s">
        <v>4</v>
      </c>
      <c r="D7" s="114" t="s">
        <v>821</v>
      </c>
      <c r="E7" s="44"/>
      <c r="F7" s="44"/>
      <c r="G7" s="44"/>
      <c r="H7" s="44" t="str">
        <f>IFERROR(__xludf.DUMMYFUNCTION("SORT(UNIQUE(FILTER(#REF!, LEN(#REF!))))"),"#REF!")</f>
        <v>#REF!</v>
      </c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t="21.0" customHeight="1">
      <c r="A8" s="43"/>
      <c r="B8" s="115" t="str">
        <f>IFERROR(__xludf.DUMMYFUNCTION("IF(
 $C$5="""",
 ""시리즈를 선택하세요"",
 SORT(
   FILTER(
     {'재고 백업'!A2:A620, '재고 백업'!B2:B620, #REF!},
     #REF!=$C$5
   ),
   2,
   FALSE
 )
)"),"#REF!")</f>
        <v>#REF!</v>
      </c>
      <c r="C8" s="116"/>
      <c r="D8" s="116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t="21.0" customHeight="1">
      <c r="A9" s="43"/>
      <c r="B9" s="115"/>
      <c r="C9" s="116"/>
      <c r="D9" s="116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 ht="21.0" customHeight="1">
      <c r="A10" s="43"/>
      <c r="B10" s="115"/>
      <c r="C10" s="116"/>
      <c r="D10" s="116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t="21.0" customHeight="1">
      <c r="A11" s="43"/>
      <c r="B11" s="115"/>
      <c r="C11" s="116"/>
      <c r="D11" s="116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 ht="21.0" customHeight="1">
      <c r="A12" s="43"/>
      <c r="B12" s="115"/>
      <c r="C12" s="116"/>
      <c r="D12" s="116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 ht="21.0" customHeight="1">
      <c r="A13" s="43"/>
      <c r="B13" s="115"/>
      <c r="C13" s="116"/>
      <c r="D13" s="116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 ht="21.0" customHeight="1">
      <c r="A14" s="43"/>
      <c r="B14" s="115"/>
      <c r="C14" s="116"/>
      <c r="D14" s="116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 ht="21.0" customHeight="1">
      <c r="A15" s="43"/>
      <c r="B15" s="115"/>
      <c r="C15" s="116"/>
      <c r="D15" s="116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t="21.0" customHeight="1">
      <c r="A16" s="43"/>
      <c r="B16" s="115"/>
      <c r="C16" s="116"/>
      <c r="D16" s="116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 ht="21.0" customHeight="1">
      <c r="A17" s="43"/>
      <c r="B17" s="115"/>
      <c r="C17" s="116"/>
      <c r="D17" s="116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t="21.0" customHeight="1">
      <c r="A18" s="43"/>
      <c r="B18" s="115"/>
      <c r="C18" s="116"/>
      <c r="D18" s="116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 ht="21.0" customHeight="1">
      <c r="A19" s="43"/>
      <c r="B19" s="115"/>
      <c r="C19" s="116"/>
      <c r="D19" s="116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 ht="21.0" customHeight="1">
      <c r="A20" s="43"/>
      <c r="B20" s="115"/>
      <c r="C20" s="116"/>
      <c r="D20" s="116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t="21.0" customHeight="1">
      <c r="A21" s="43"/>
      <c r="B21" s="115"/>
      <c r="C21" s="116"/>
      <c r="D21" s="116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 ht="21.0" customHeight="1">
      <c r="A22" s="43"/>
      <c r="B22" s="115"/>
      <c r="C22" s="116"/>
      <c r="D22" s="116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 ht="21.0" customHeight="1">
      <c r="A23" s="43"/>
      <c r="B23" s="115"/>
      <c r="C23" s="116"/>
      <c r="D23" s="116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t="21.0" customHeight="1">
      <c r="A24" s="43"/>
      <c r="B24" s="115"/>
      <c r="C24" s="116"/>
      <c r="D24" s="116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t="21.0" customHeight="1">
      <c r="A25" s="43"/>
      <c r="B25" s="115"/>
      <c r="C25" s="116"/>
      <c r="D25" s="116"/>
      <c r="E25" s="47"/>
      <c r="F25" s="47"/>
      <c r="G25" s="47"/>
      <c r="H25" s="44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7"/>
      <c r="CB25" s="47"/>
      <c r="CC25" s="47"/>
    </row>
    <row r="26" ht="21.0" customHeight="1">
      <c r="A26" s="12"/>
      <c r="B26" s="116"/>
      <c r="C26" s="116"/>
      <c r="D26" s="115"/>
      <c r="E26" s="25"/>
      <c r="F26" s="25"/>
      <c r="G26" s="25"/>
      <c r="H26" s="4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t="21.0" customHeight="1">
      <c r="A27" s="12"/>
      <c r="B27" s="115"/>
      <c r="C27" s="115"/>
      <c r="D27" s="115"/>
      <c r="E27" s="25"/>
      <c r="F27" s="25"/>
      <c r="G27" s="25"/>
      <c r="H27" s="44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t="21.0" customHeight="1">
      <c r="A28" s="12"/>
      <c r="B28" s="116"/>
      <c r="C28" s="116"/>
      <c r="D28" s="115"/>
      <c r="E28" s="25"/>
      <c r="F28" s="25"/>
      <c r="G28" s="25"/>
      <c r="H28" s="44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t="21.0" customHeight="1">
      <c r="A29" s="12"/>
      <c r="B29" s="116"/>
      <c r="C29" s="116"/>
      <c r="D29" s="115"/>
      <c r="E29" s="25"/>
      <c r="F29" s="25"/>
      <c r="G29" s="25"/>
      <c r="H29" s="47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 ht="21.0" customHeight="1">
      <c r="A30" s="12"/>
      <c r="B30" s="116"/>
      <c r="C30" s="116"/>
      <c r="D30" s="115"/>
      <c r="E30" s="25"/>
      <c r="F30" s="25"/>
      <c r="G30" s="25"/>
      <c r="H30" s="47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 ht="21.0" customHeight="1">
      <c r="A31" s="12"/>
      <c r="B31" s="116"/>
      <c r="C31" s="116"/>
      <c r="D31" s="115"/>
      <c r="E31" s="25"/>
      <c r="F31" s="25"/>
      <c r="G31" s="25"/>
      <c r="H31" s="47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t="21.0" customHeight="1">
      <c r="A32" s="12"/>
      <c r="B32" s="116"/>
      <c r="C32" s="116"/>
      <c r="D32" s="115"/>
      <c r="E32" s="25"/>
      <c r="F32" s="25"/>
      <c r="G32" s="25"/>
      <c r="H32" s="47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 ht="21.0" customHeight="1">
      <c r="A33" s="12"/>
      <c r="B33" s="116"/>
      <c r="C33" s="116"/>
      <c r="D33" s="115"/>
      <c r="E33" s="25"/>
      <c r="F33" s="25"/>
      <c r="G33" s="25"/>
      <c r="H33" s="47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t="21.0" customHeight="1">
      <c r="A34" s="12"/>
      <c r="B34" s="115"/>
      <c r="C34" s="115"/>
      <c r="D34" s="116"/>
      <c r="E34" s="44"/>
      <c r="F34" s="44"/>
      <c r="G34" s="44"/>
      <c r="H34" s="47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 ht="21.0" customHeight="1">
      <c r="A35" s="12"/>
      <c r="B35" s="116"/>
      <c r="C35" s="116"/>
      <c r="D35" s="116"/>
      <c r="E35" s="44"/>
      <c r="F35" s="44"/>
      <c r="G35" s="44"/>
      <c r="H35" s="47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t="21.0" customHeight="1">
      <c r="A36" s="12"/>
      <c r="B36" s="116"/>
      <c r="C36" s="116"/>
      <c r="D36" s="116"/>
      <c r="E36" s="44"/>
      <c r="F36" s="44"/>
      <c r="G36" s="44"/>
      <c r="H36" s="47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 ht="21.0" customHeight="1">
      <c r="A37" s="12"/>
      <c r="B37" s="116"/>
      <c r="C37" s="116"/>
      <c r="D37" s="116"/>
      <c r="E37" s="44"/>
      <c r="F37" s="44"/>
      <c r="G37" s="44"/>
      <c r="H37" s="47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 ht="21.0" customHeight="1">
      <c r="A38" s="12"/>
      <c r="B38" s="116"/>
      <c r="C38" s="116"/>
      <c r="D38" s="116"/>
      <c r="E38" s="44"/>
      <c r="F38" s="44"/>
      <c r="G38" s="44"/>
      <c r="H38" s="47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 ht="21.0" customHeight="1">
      <c r="A39" s="12"/>
      <c r="B39" s="116"/>
      <c r="C39" s="116"/>
      <c r="D39" s="116"/>
      <c r="E39" s="44"/>
      <c r="F39" s="44"/>
      <c r="G39" s="44"/>
      <c r="H39" s="47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 ht="21.0" customHeight="1">
      <c r="A40" s="12"/>
      <c r="B40" s="116"/>
      <c r="C40" s="116"/>
      <c r="D40" s="116"/>
      <c r="E40" s="44"/>
      <c r="F40" s="44"/>
      <c r="G40" s="44"/>
      <c r="H40" s="47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</row>
    <row r="41" ht="21.0" customHeight="1">
      <c r="A41" s="12"/>
      <c r="B41" s="116"/>
      <c r="C41" s="116"/>
      <c r="D41" s="116"/>
      <c r="E41" s="44"/>
      <c r="F41" s="44"/>
      <c r="G41" s="44"/>
      <c r="H41" s="47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</row>
    <row r="42" ht="21.0" customHeight="1">
      <c r="A42" s="12"/>
      <c r="B42" s="116"/>
      <c r="C42" s="116"/>
      <c r="D42" s="117"/>
      <c r="E42" s="44"/>
      <c r="F42" s="44"/>
      <c r="G42" s="44"/>
      <c r="H42" s="47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</row>
    <row r="43" ht="21.0" customHeight="1">
      <c r="A43" s="12"/>
      <c r="B43" s="116"/>
      <c r="C43" s="116"/>
      <c r="D43" s="117"/>
      <c r="E43" s="44"/>
      <c r="F43" s="44"/>
      <c r="G43" s="44"/>
      <c r="H43" s="47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</row>
    <row r="44" ht="21.0" customHeight="1">
      <c r="A44" s="12"/>
      <c r="B44" s="116"/>
      <c r="C44" s="116"/>
      <c r="D44" s="116"/>
      <c r="E44" s="44"/>
      <c r="F44" s="44"/>
      <c r="G44" s="44"/>
      <c r="H44" s="47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</row>
    <row r="45" ht="21.0" customHeight="1">
      <c r="A45" s="12"/>
      <c r="B45" s="116"/>
      <c r="C45" s="116"/>
      <c r="D45" s="116"/>
      <c r="E45" s="44"/>
      <c r="F45" s="44"/>
      <c r="G45" s="44"/>
      <c r="H45" s="47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</row>
    <row r="46" ht="21.0" customHeight="1">
      <c r="A46" s="12"/>
      <c r="B46" s="116"/>
      <c r="C46" s="116"/>
      <c r="D46" s="116"/>
      <c r="E46" s="44"/>
      <c r="F46" s="44"/>
      <c r="G46" s="44"/>
      <c r="H46" s="47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</row>
    <row r="47" ht="21.0" customHeight="1">
      <c r="A47" s="12"/>
      <c r="B47" s="116"/>
      <c r="C47" s="116"/>
      <c r="D47" s="116"/>
      <c r="E47" s="44"/>
      <c r="F47" s="44"/>
      <c r="G47" s="44"/>
      <c r="H47" s="47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</row>
    <row r="48" ht="21.0" customHeight="1">
      <c r="A48" s="12"/>
      <c r="B48" s="116"/>
      <c r="C48" s="116"/>
      <c r="D48" s="116"/>
      <c r="E48" s="44"/>
      <c r="F48" s="44"/>
      <c r="G48" s="44"/>
      <c r="H48" s="47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</row>
    <row r="49" ht="21.0" customHeight="1">
      <c r="A49" s="12"/>
      <c r="B49" s="116"/>
      <c r="C49" s="116"/>
      <c r="D49" s="116"/>
      <c r="E49" s="44"/>
      <c r="F49" s="44"/>
      <c r="G49" s="44"/>
      <c r="H49" s="47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</row>
    <row r="50" ht="21.0" customHeight="1">
      <c r="A50" s="12"/>
      <c r="B50" s="116"/>
      <c r="C50" s="116"/>
      <c r="D50" s="116"/>
      <c r="E50" s="44"/>
      <c r="F50" s="44"/>
      <c r="G50" s="44"/>
      <c r="H50" s="47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</row>
    <row r="51" ht="21.0" customHeight="1">
      <c r="A51" s="12"/>
      <c r="B51" s="116"/>
      <c r="C51" s="116"/>
      <c r="D51" s="116"/>
      <c r="E51" s="44"/>
      <c r="F51" s="44"/>
      <c r="G51" s="44"/>
      <c r="H51" s="47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</row>
    <row r="52" ht="21.0" customHeight="1">
      <c r="A52" s="12"/>
      <c r="B52" s="116"/>
      <c r="C52" s="116"/>
      <c r="D52" s="116"/>
      <c r="E52" s="44"/>
      <c r="F52" s="44"/>
      <c r="G52" s="44"/>
      <c r="H52" s="47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</row>
    <row r="53" ht="21.0" customHeight="1">
      <c r="A53" s="12"/>
      <c r="B53" s="116"/>
      <c r="C53" s="116"/>
      <c r="D53" s="116"/>
      <c r="E53" s="44"/>
      <c r="F53" s="44"/>
      <c r="G53" s="44"/>
      <c r="H53" s="47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</row>
    <row r="54" ht="21.0" customHeight="1">
      <c r="A54" s="12"/>
      <c r="B54" s="116"/>
      <c r="C54" s="116"/>
      <c r="D54" s="116"/>
      <c r="E54" s="44"/>
      <c r="F54" s="44"/>
      <c r="G54" s="44"/>
      <c r="H54" s="47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4"/>
      <c r="CB54" s="44"/>
      <c r="CC54" s="44"/>
    </row>
    <row r="55" ht="21.0" customHeight="1">
      <c r="A55" s="12"/>
      <c r="B55" s="116"/>
      <c r="C55" s="116"/>
      <c r="D55" s="116"/>
      <c r="E55" s="44"/>
      <c r="F55" s="44"/>
      <c r="G55" s="44"/>
      <c r="H55" s="47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</row>
    <row r="56" ht="21.0" customHeight="1">
      <c r="A56" s="12"/>
      <c r="B56" s="116"/>
      <c r="C56" s="116"/>
      <c r="D56" s="116"/>
      <c r="E56" s="44"/>
      <c r="F56" s="44"/>
      <c r="G56" s="44"/>
      <c r="H56" s="47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44"/>
    </row>
    <row r="57" ht="21.0" customHeight="1">
      <c r="A57" s="12"/>
      <c r="B57" s="116"/>
      <c r="C57" s="116"/>
      <c r="D57" s="116"/>
      <c r="E57" s="44"/>
      <c r="F57" s="44"/>
      <c r="G57" s="44"/>
      <c r="H57" s="47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</row>
    <row r="58" ht="21.0" customHeight="1">
      <c r="A58" s="12"/>
      <c r="B58" s="116"/>
      <c r="C58" s="116"/>
      <c r="D58" s="116"/>
      <c r="E58" s="44"/>
      <c r="F58" s="44"/>
      <c r="G58" s="44"/>
      <c r="H58" s="47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</row>
    <row r="59" ht="21.0" customHeight="1">
      <c r="A59" s="12"/>
      <c r="B59" s="116"/>
      <c r="C59" s="116"/>
      <c r="D59" s="116"/>
      <c r="E59" s="44"/>
      <c r="F59" s="44"/>
      <c r="G59" s="44"/>
      <c r="H59" s="47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</row>
    <row r="60" ht="21.0" customHeight="1">
      <c r="A60" s="12"/>
      <c r="B60" s="116"/>
      <c r="C60" s="116"/>
      <c r="D60" s="116"/>
      <c r="E60" s="44"/>
      <c r="F60" s="44"/>
      <c r="G60" s="44"/>
      <c r="H60" s="47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</row>
    <row r="61" ht="21.0" customHeight="1">
      <c r="A61" s="12"/>
      <c r="B61" s="116"/>
      <c r="C61" s="116"/>
      <c r="D61" s="116"/>
      <c r="E61" s="44"/>
      <c r="F61" s="44"/>
      <c r="G61" s="44"/>
      <c r="H61" s="47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4"/>
      <c r="CB61" s="44"/>
      <c r="CC61" s="44"/>
    </row>
    <row r="62" ht="21.0" customHeight="1">
      <c r="A62" s="12"/>
      <c r="B62" s="116"/>
      <c r="C62" s="116"/>
      <c r="D62" s="116"/>
      <c r="E62" s="44"/>
      <c r="F62" s="44"/>
      <c r="G62" s="44"/>
      <c r="H62" s="47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4"/>
      <c r="CB62" s="44"/>
      <c r="CC62" s="44"/>
    </row>
    <row r="63" ht="21.0" customHeight="1">
      <c r="A63" s="12"/>
      <c r="B63" s="116"/>
      <c r="C63" s="116"/>
      <c r="D63" s="116"/>
      <c r="E63" s="44"/>
      <c r="F63" s="44"/>
      <c r="G63" s="44"/>
      <c r="H63" s="47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</row>
    <row r="64" ht="21.0" customHeight="1">
      <c r="A64" s="12"/>
      <c r="B64" s="116"/>
      <c r="C64" s="116"/>
      <c r="D64" s="116"/>
      <c r="E64" s="44"/>
      <c r="F64" s="44"/>
      <c r="G64" s="44"/>
      <c r="H64" s="47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</row>
    <row r="65" ht="21.0" customHeight="1">
      <c r="A65" s="12"/>
      <c r="B65" s="116"/>
      <c r="C65" s="116"/>
      <c r="D65" s="116"/>
      <c r="E65" s="44"/>
      <c r="F65" s="44"/>
      <c r="G65" s="44"/>
      <c r="H65" s="47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</row>
    <row r="66" ht="21.0" customHeight="1">
      <c r="A66" s="12"/>
      <c r="B66" s="116"/>
      <c r="C66" s="116"/>
      <c r="D66" s="116"/>
      <c r="E66" s="44"/>
      <c r="F66" s="44"/>
      <c r="G66" s="44"/>
      <c r="H66" s="47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</row>
    <row r="67" ht="21.0" customHeight="1">
      <c r="A67" s="12"/>
      <c r="B67" s="116"/>
      <c r="C67" s="116"/>
      <c r="D67" s="116"/>
      <c r="E67" s="44"/>
      <c r="F67" s="44"/>
      <c r="G67" s="44"/>
      <c r="H67" s="47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4"/>
      <c r="CB67" s="44"/>
      <c r="CC67" s="44"/>
    </row>
    <row r="68" ht="21.0" customHeight="1">
      <c r="A68" s="12"/>
      <c r="B68" s="116"/>
      <c r="C68" s="116"/>
      <c r="D68" s="116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4"/>
      <c r="CB68" s="44"/>
      <c r="CC68" s="44"/>
    </row>
    <row r="69" ht="21.0" customHeight="1">
      <c r="A69" s="12"/>
      <c r="B69" s="116"/>
      <c r="C69" s="116"/>
      <c r="D69" s="116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4"/>
      <c r="CB69" s="44"/>
      <c r="CC69" s="44"/>
    </row>
    <row r="70" ht="21.0" customHeight="1">
      <c r="A70" s="12"/>
      <c r="B70" s="116"/>
      <c r="C70" s="116"/>
      <c r="D70" s="116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4"/>
      <c r="CB70" s="44"/>
      <c r="CC70" s="44"/>
    </row>
    <row r="71" ht="21.0" customHeight="1">
      <c r="A71" s="12"/>
      <c r="B71" s="116"/>
      <c r="C71" s="116"/>
      <c r="D71" s="116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4"/>
      <c r="CB71" s="44"/>
      <c r="CC71" s="44"/>
    </row>
    <row r="72" ht="21.0" customHeight="1">
      <c r="A72" s="12"/>
      <c r="B72" s="116"/>
      <c r="C72" s="116"/>
      <c r="D72" s="116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4"/>
      <c r="CB72" s="44"/>
      <c r="CC72" s="44"/>
    </row>
    <row r="73" ht="21.0" customHeight="1">
      <c r="A73" s="12"/>
      <c r="B73" s="116"/>
      <c r="C73" s="116"/>
      <c r="D73" s="116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4"/>
      <c r="CB73" s="44"/>
      <c r="CC73" s="44"/>
    </row>
    <row r="74" ht="21.0" customHeight="1">
      <c r="A74" s="12"/>
      <c r="B74" s="116"/>
      <c r="C74" s="116"/>
      <c r="D74" s="116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4"/>
      <c r="CB74" s="44"/>
      <c r="CC74" s="44"/>
    </row>
    <row r="75" ht="21.0" customHeight="1">
      <c r="A75" s="12"/>
      <c r="B75" s="116"/>
      <c r="C75" s="116"/>
      <c r="D75" s="116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44"/>
    </row>
    <row r="76" ht="21.0" customHeight="1">
      <c r="A76" s="12"/>
      <c r="B76" s="116"/>
      <c r="C76" s="116"/>
      <c r="D76" s="116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4"/>
      <c r="CB76" s="44"/>
      <c r="CC76" s="44"/>
    </row>
    <row r="77" ht="21.0" customHeight="1">
      <c r="A77" s="12"/>
      <c r="B77" s="116"/>
      <c r="C77" s="116"/>
      <c r="D77" s="116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</row>
    <row r="78" ht="21.0" customHeight="1">
      <c r="A78" s="12"/>
      <c r="B78" s="116"/>
      <c r="C78" s="116"/>
      <c r="D78" s="116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</row>
    <row r="79" ht="21.0" customHeight="1">
      <c r="A79" s="12"/>
      <c r="B79" s="116"/>
      <c r="C79" s="116"/>
      <c r="D79" s="116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</row>
    <row r="80" ht="21.0" customHeight="1">
      <c r="A80" s="12"/>
      <c r="B80" s="116"/>
      <c r="C80" s="116"/>
      <c r="D80" s="116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4"/>
      <c r="CB80" s="44"/>
      <c r="CC80" s="44"/>
    </row>
    <row r="81" ht="21.0" customHeight="1">
      <c r="A81" s="12"/>
      <c r="B81" s="108"/>
      <c r="C81" s="108"/>
      <c r="D81" s="108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4"/>
      <c r="CB81" s="44"/>
      <c r="CC81" s="44"/>
    </row>
    <row r="82" ht="21.0" customHeight="1">
      <c r="A82" s="12"/>
      <c r="B82" s="108"/>
      <c r="C82" s="108"/>
      <c r="D82" s="108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47"/>
      <c r="BK82" s="47"/>
      <c r="BL82" s="47"/>
      <c r="BM82" s="47"/>
      <c r="BN82" s="47"/>
      <c r="BO82" s="47"/>
      <c r="BP82" s="47"/>
      <c r="BQ82" s="47"/>
      <c r="BR82" s="47"/>
      <c r="BS82" s="47"/>
      <c r="BT82" s="47"/>
      <c r="BU82" s="47"/>
      <c r="BV82" s="47"/>
      <c r="BW82" s="47"/>
      <c r="BX82" s="47"/>
      <c r="BY82" s="47"/>
      <c r="BZ82" s="47"/>
      <c r="CA82" s="47"/>
      <c r="CB82" s="47"/>
      <c r="CC82" s="47"/>
    </row>
    <row r="83" ht="21.0" customHeight="1">
      <c r="A83" s="12"/>
      <c r="B83" s="108"/>
      <c r="C83" s="108"/>
      <c r="D83" s="108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47"/>
    </row>
    <row r="84" ht="21.0" customHeight="1">
      <c r="A84" s="12"/>
      <c r="B84" s="108"/>
      <c r="C84" s="108"/>
      <c r="D84" s="108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47"/>
      <c r="AW84" s="47"/>
      <c r="AX84" s="47"/>
      <c r="AY84" s="47"/>
      <c r="AZ84" s="47"/>
      <c r="BA84" s="47"/>
      <c r="BB84" s="47"/>
      <c r="BC84" s="47"/>
      <c r="BD84" s="47"/>
      <c r="BE84" s="47"/>
      <c r="BF84" s="47"/>
      <c r="BG84" s="47"/>
      <c r="BH84" s="47"/>
      <c r="BI84" s="47"/>
      <c r="BJ84" s="47"/>
      <c r="BK84" s="47"/>
      <c r="BL84" s="47"/>
      <c r="BM84" s="47"/>
      <c r="BN84" s="47"/>
      <c r="BO84" s="47"/>
      <c r="BP84" s="47"/>
      <c r="BQ84" s="47"/>
      <c r="BR84" s="47"/>
      <c r="BS84" s="47"/>
      <c r="BT84" s="47"/>
      <c r="BU84" s="47"/>
      <c r="BV84" s="47"/>
      <c r="BW84" s="47"/>
      <c r="BX84" s="47"/>
      <c r="BY84" s="47"/>
      <c r="BZ84" s="47"/>
      <c r="CA84" s="47"/>
      <c r="CB84" s="47"/>
      <c r="CC84" s="47"/>
    </row>
    <row r="85" ht="21.0" customHeight="1">
      <c r="A85" s="12"/>
      <c r="B85" s="108"/>
      <c r="C85" s="108"/>
      <c r="D85" s="108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47"/>
      <c r="AW85" s="47"/>
      <c r="AX85" s="47"/>
      <c r="AY85" s="47"/>
      <c r="AZ85" s="47"/>
      <c r="BA85" s="47"/>
      <c r="BB85" s="47"/>
      <c r="BC85" s="47"/>
      <c r="BD85" s="47"/>
      <c r="BE85" s="47"/>
      <c r="BF85" s="47"/>
      <c r="BG85" s="47"/>
      <c r="BH85" s="47"/>
      <c r="BI85" s="47"/>
      <c r="BJ85" s="47"/>
      <c r="BK85" s="47"/>
      <c r="BL85" s="47"/>
      <c r="BM85" s="47"/>
      <c r="BN85" s="47"/>
      <c r="BO85" s="47"/>
      <c r="BP85" s="47"/>
      <c r="BQ85" s="47"/>
      <c r="BR85" s="47"/>
      <c r="BS85" s="47"/>
      <c r="BT85" s="47"/>
      <c r="BU85" s="47"/>
      <c r="BV85" s="47"/>
      <c r="BW85" s="47"/>
      <c r="BX85" s="47"/>
      <c r="BY85" s="47"/>
      <c r="BZ85" s="47"/>
      <c r="CA85" s="47"/>
      <c r="CB85" s="47"/>
      <c r="CC85" s="47"/>
    </row>
    <row r="86" ht="21.0" customHeight="1">
      <c r="A86" s="12"/>
      <c r="B86" s="108"/>
      <c r="C86" s="108"/>
      <c r="D86" s="108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  <c r="CC86" s="51"/>
    </row>
    <row r="87" ht="21.0" customHeight="1">
      <c r="A87" s="12"/>
      <c r="B87" s="108"/>
      <c r="C87" s="108"/>
      <c r="D87" s="108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/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  <c r="CC87" s="51"/>
    </row>
    <row r="88" ht="21.0" customHeight="1">
      <c r="A88" s="12"/>
      <c r="B88" s="108"/>
      <c r="C88" s="108"/>
      <c r="D88" s="107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</row>
    <row r="89" ht="21.0" customHeight="1">
      <c r="A89" s="12"/>
      <c r="B89" s="108"/>
      <c r="C89" s="108"/>
      <c r="D89" s="107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</row>
    <row r="90" ht="21.0" customHeight="1">
      <c r="A90" s="12"/>
      <c r="B90" s="108"/>
      <c r="C90" s="108"/>
      <c r="D90" s="108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44"/>
    </row>
    <row r="91" ht="21.0" customHeight="1">
      <c r="A91" s="12"/>
      <c r="B91" s="108"/>
      <c r="C91" s="108"/>
      <c r="D91" s="108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44"/>
    </row>
    <row r="92" ht="21.0" customHeight="1">
      <c r="A92" s="12"/>
      <c r="B92" s="108"/>
      <c r="C92" s="108"/>
      <c r="D92" s="108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4"/>
      <c r="CB92" s="44"/>
      <c r="CC92" s="44"/>
    </row>
    <row r="93" ht="21.0" customHeight="1">
      <c r="A93" s="12"/>
      <c r="B93" s="108"/>
      <c r="C93" s="108"/>
      <c r="D93" s="108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4"/>
      <c r="CB93" s="44"/>
      <c r="CC93" s="44"/>
    </row>
    <row r="94" ht="21.0" customHeight="1">
      <c r="A94" s="12"/>
      <c r="B94" s="107"/>
      <c r="C94" s="107"/>
      <c r="D94" s="108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44"/>
    </row>
    <row r="95" ht="21.0" customHeight="1">
      <c r="A95" s="12"/>
      <c r="B95" s="108"/>
      <c r="C95" s="108"/>
      <c r="D95" s="108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44"/>
    </row>
    <row r="96" ht="21.0" customHeight="1">
      <c r="A96" s="12"/>
      <c r="B96" s="108"/>
      <c r="C96" s="108"/>
      <c r="D96" s="108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4"/>
      <c r="CB96" s="44"/>
      <c r="CC96" s="44"/>
    </row>
    <row r="97" ht="21.0" customHeight="1">
      <c r="A97" s="12"/>
      <c r="B97" s="108"/>
      <c r="C97" s="108"/>
      <c r="D97" s="108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4"/>
      <c r="CB97" s="44"/>
      <c r="CC97" s="44"/>
    </row>
    <row r="98" ht="21.0" customHeight="1">
      <c r="A98" s="12"/>
      <c r="B98" s="108"/>
      <c r="C98" s="108"/>
      <c r="D98" s="108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44"/>
    </row>
    <row r="99" ht="21.0" customHeight="1">
      <c r="A99" s="12"/>
      <c r="B99" s="108"/>
      <c r="C99" s="108"/>
      <c r="D99" s="108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44"/>
    </row>
    <row r="100" ht="21.0" customHeight="1">
      <c r="A100" s="12"/>
      <c r="B100" s="108"/>
      <c r="C100" s="108"/>
      <c r="D100" s="108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4"/>
      <c r="CB100" s="44"/>
      <c r="CC100" s="44"/>
    </row>
    <row r="101" ht="21.0" customHeight="1">
      <c r="A101" s="12"/>
      <c r="B101" s="108"/>
      <c r="C101" s="108"/>
      <c r="D101" s="108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4"/>
      <c r="CB101" s="44"/>
      <c r="CC101" s="44"/>
    </row>
    <row r="102" ht="21.0" customHeight="1">
      <c r="A102" s="12"/>
      <c r="B102" s="108"/>
      <c r="C102" s="108"/>
      <c r="D102" s="108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44"/>
    </row>
    <row r="103" ht="21.0" customHeight="1">
      <c r="A103" s="12"/>
      <c r="B103" s="108"/>
      <c r="C103" s="108"/>
      <c r="D103" s="108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44"/>
    </row>
    <row r="104" ht="21.0" customHeight="1">
      <c r="A104" s="12"/>
      <c r="B104" s="108"/>
      <c r="C104" s="108"/>
      <c r="D104" s="108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4"/>
      <c r="CB104" s="44"/>
      <c r="CC104" s="44"/>
    </row>
    <row r="105" ht="21.0" customHeight="1">
      <c r="A105" s="12"/>
      <c r="B105" s="108"/>
      <c r="C105" s="108"/>
      <c r="D105" s="108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4"/>
      <c r="CB105" s="44"/>
      <c r="CC105" s="44"/>
    </row>
    <row r="106" ht="21.0" customHeight="1">
      <c r="A106" s="12"/>
      <c r="B106" s="108"/>
      <c r="C106" s="108"/>
      <c r="D106" s="108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44"/>
    </row>
    <row r="107" ht="21.0" customHeight="1">
      <c r="A107" s="12"/>
      <c r="B107" s="108"/>
      <c r="C107" s="108"/>
      <c r="D107" s="108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44"/>
    </row>
    <row r="108" ht="21.0" customHeight="1">
      <c r="A108" s="12"/>
      <c r="B108" s="108"/>
      <c r="C108" s="108"/>
      <c r="D108" s="108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4"/>
      <c r="CB108" s="44"/>
      <c r="CC108" s="44"/>
    </row>
    <row r="109" ht="21.0" customHeight="1">
      <c r="A109" s="12"/>
      <c r="B109" s="108"/>
      <c r="C109" s="108"/>
      <c r="D109" s="108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4"/>
      <c r="CB109" s="44"/>
      <c r="CC109" s="44"/>
    </row>
    <row r="110" ht="21.0" customHeight="1">
      <c r="A110" s="12"/>
      <c r="B110" s="108"/>
      <c r="C110" s="108"/>
      <c r="D110" s="108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47"/>
      <c r="AW110" s="47"/>
      <c r="AX110" s="47"/>
      <c r="AY110" s="47"/>
      <c r="AZ110" s="47"/>
      <c r="BA110" s="47"/>
      <c r="BB110" s="47"/>
      <c r="BC110" s="47"/>
      <c r="BD110" s="47"/>
      <c r="BE110" s="47"/>
      <c r="BF110" s="47"/>
      <c r="BG110" s="47"/>
      <c r="BH110" s="47"/>
      <c r="BI110" s="47"/>
      <c r="BJ110" s="47"/>
      <c r="BK110" s="47"/>
      <c r="BL110" s="47"/>
      <c r="BM110" s="47"/>
      <c r="BN110" s="47"/>
      <c r="BO110" s="47"/>
      <c r="BP110" s="47"/>
      <c r="BQ110" s="47"/>
      <c r="BR110" s="47"/>
      <c r="BS110" s="47"/>
      <c r="BT110" s="47"/>
      <c r="BU110" s="47"/>
      <c r="BV110" s="47"/>
      <c r="BW110" s="47"/>
      <c r="BX110" s="47"/>
      <c r="BY110" s="47"/>
      <c r="BZ110" s="47"/>
      <c r="CA110" s="47"/>
      <c r="CB110" s="47"/>
      <c r="CC110" s="47"/>
    </row>
    <row r="111" ht="21.0" customHeight="1">
      <c r="A111" s="12"/>
      <c r="B111" s="108"/>
      <c r="C111" s="108"/>
      <c r="D111" s="108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47"/>
    </row>
    <row r="112" ht="21.0" customHeight="1">
      <c r="A112" s="12"/>
      <c r="B112" s="108"/>
      <c r="C112" s="108"/>
      <c r="D112" s="108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47"/>
      <c r="AW112" s="47"/>
      <c r="AX112" s="47"/>
      <c r="AY112" s="47"/>
      <c r="AZ112" s="47"/>
      <c r="BA112" s="47"/>
      <c r="BB112" s="47"/>
      <c r="BC112" s="47"/>
      <c r="BD112" s="47"/>
      <c r="BE112" s="47"/>
      <c r="BF112" s="47"/>
      <c r="BG112" s="47"/>
      <c r="BH112" s="47"/>
      <c r="BI112" s="47"/>
      <c r="BJ112" s="47"/>
      <c r="BK112" s="47"/>
      <c r="BL112" s="47"/>
      <c r="BM112" s="47"/>
      <c r="BN112" s="47"/>
      <c r="BO112" s="47"/>
      <c r="BP112" s="47"/>
      <c r="BQ112" s="47"/>
      <c r="BR112" s="47"/>
      <c r="BS112" s="47"/>
      <c r="BT112" s="47"/>
      <c r="BU112" s="47"/>
      <c r="BV112" s="47"/>
      <c r="BW112" s="47"/>
      <c r="BX112" s="47"/>
      <c r="BY112" s="47"/>
      <c r="BZ112" s="47"/>
      <c r="CA112" s="47"/>
      <c r="CB112" s="47"/>
      <c r="CC112" s="47"/>
    </row>
    <row r="113" ht="21.0" customHeight="1">
      <c r="A113" s="12"/>
      <c r="B113" s="108"/>
      <c r="C113" s="108"/>
      <c r="D113" s="108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47"/>
      <c r="AW113" s="47"/>
      <c r="AX113" s="47"/>
      <c r="AY113" s="47"/>
      <c r="AZ113" s="47"/>
      <c r="BA113" s="47"/>
      <c r="BB113" s="47"/>
      <c r="BC113" s="47"/>
      <c r="BD113" s="47"/>
      <c r="BE113" s="47"/>
      <c r="BF113" s="47"/>
      <c r="BG113" s="47"/>
      <c r="BH113" s="47"/>
      <c r="BI113" s="47"/>
      <c r="BJ113" s="47"/>
      <c r="BK113" s="47"/>
      <c r="BL113" s="47"/>
      <c r="BM113" s="47"/>
      <c r="BN113" s="47"/>
      <c r="BO113" s="47"/>
      <c r="BP113" s="47"/>
      <c r="BQ113" s="47"/>
      <c r="BR113" s="47"/>
      <c r="BS113" s="47"/>
      <c r="BT113" s="47"/>
      <c r="BU113" s="47"/>
      <c r="BV113" s="47"/>
      <c r="BW113" s="47"/>
      <c r="BX113" s="47"/>
      <c r="BY113" s="47"/>
      <c r="BZ113" s="47"/>
      <c r="CA113" s="47"/>
      <c r="CB113" s="47"/>
      <c r="CC113" s="47"/>
    </row>
    <row r="114" ht="21.0" customHeight="1">
      <c r="A114" s="12"/>
      <c r="B114" s="108"/>
      <c r="C114" s="108"/>
      <c r="D114" s="107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</row>
    <row r="115" ht="21.0" customHeight="1">
      <c r="A115" s="12"/>
      <c r="B115" s="108"/>
      <c r="C115" s="108"/>
      <c r="D115" s="108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44"/>
    </row>
    <row r="116" ht="21.0" customHeight="1">
      <c r="A116" s="12"/>
      <c r="B116" s="107"/>
      <c r="C116" s="107"/>
      <c r="D116" s="108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4"/>
      <c r="CB116" s="44"/>
      <c r="CC116" s="44"/>
    </row>
    <row r="117" ht="21.0" customHeight="1">
      <c r="A117" s="12"/>
      <c r="B117" s="108"/>
      <c r="C117" s="108"/>
      <c r="D117" s="108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4"/>
      <c r="CB117" s="44"/>
      <c r="CC117" s="44"/>
    </row>
    <row r="118" ht="21.0" customHeight="1">
      <c r="A118" s="12"/>
      <c r="B118" s="108"/>
      <c r="C118" s="108"/>
      <c r="D118" s="108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44"/>
    </row>
    <row r="119" ht="21.0" customHeight="1">
      <c r="A119" s="12"/>
      <c r="B119" s="108"/>
      <c r="C119" s="108"/>
      <c r="D119" s="108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44"/>
    </row>
    <row r="120" ht="21.0" customHeight="1">
      <c r="A120" s="12"/>
      <c r="B120" s="108"/>
      <c r="C120" s="108"/>
      <c r="D120" s="108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4"/>
      <c r="CB120" s="44"/>
      <c r="CC120" s="44"/>
    </row>
    <row r="121" ht="21.0" customHeight="1">
      <c r="A121" s="12"/>
      <c r="B121" s="108"/>
      <c r="C121" s="108"/>
      <c r="D121" s="108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4"/>
      <c r="CB121" s="44"/>
      <c r="CC121" s="44"/>
    </row>
    <row r="122" ht="21.0" customHeight="1">
      <c r="A122" s="12"/>
      <c r="B122" s="108"/>
      <c r="C122" s="108"/>
      <c r="D122" s="108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44"/>
    </row>
    <row r="123" ht="21.0" customHeight="1">
      <c r="A123" s="12"/>
      <c r="B123" s="107"/>
      <c r="C123" s="107"/>
      <c r="D123" s="108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44"/>
    </row>
    <row r="124" ht="21.0" customHeight="1">
      <c r="A124" s="12"/>
      <c r="B124" s="108"/>
      <c r="C124" s="108"/>
      <c r="D124" s="108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4"/>
      <c r="CB124" s="44"/>
      <c r="CC124" s="44"/>
    </row>
    <row r="125" ht="21.0" customHeight="1">
      <c r="A125" s="12"/>
      <c r="B125" s="108"/>
      <c r="C125" s="108"/>
      <c r="D125" s="108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4"/>
      <c r="CB125" s="44"/>
      <c r="CC125" s="44"/>
    </row>
    <row r="126" ht="21.0" customHeight="1">
      <c r="A126" s="12"/>
      <c r="B126" s="108"/>
      <c r="C126" s="108"/>
      <c r="D126" s="108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44"/>
    </row>
    <row r="127" ht="21.0" customHeight="1">
      <c r="A127" s="12"/>
      <c r="B127" s="107"/>
      <c r="C127" s="107"/>
      <c r="D127" s="108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44"/>
    </row>
    <row r="128" ht="21.0" customHeight="1">
      <c r="A128" s="12"/>
      <c r="B128" s="108"/>
      <c r="C128" s="108"/>
      <c r="D128" s="108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4"/>
      <c r="CB128" s="44"/>
      <c r="CC128" s="44"/>
    </row>
    <row r="129" ht="21.0" customHeight="1">
      <c r="A129" s="12"/>
      <c r="B129" s="108"/>
      <c r="C129" s="108"/>
      <c r="D129" s="108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4"/>
      <c r="CB129" s="44"/>
      <c r="CC129" s="44"/>
    </row>
    <row r="130" ht="21.0" customHeight="1">
      <c r="A130" s="12"/>
      <c r="B130" s="108"/>
      <c r="C130" s="108"/>
      <c r="D130" s="108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44"/>
    </row>
    <row r="131" ht="21.0" customHeight="1">
      <c r="A131" s="12"/>
      <c r="B131" s="107"/>
      <c r="C131" s="107"/>
      <c r="D131" s="108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44"/>
    </row>
    <row r="132" ht="21.0" customHeight="1">
      <c r="A132" s="12"/>
      <c r="B132" s="108"/>
      <c r="C132" s="108"/>
      <c r="D132" s="108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4"/>
      <c r="CB132" s="44"/>
      <c r="CC132" s="44"/>
    </row>
    <row r="133" ht="21.0" customHeight="1">
      <c r="A133" s="12"/>
      <c r="B133" s="108"/>
      <c r="C133" s="108"/>
      <c r="D133" s="108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4"/>
      <c r="CB133" s="44"/>
      <c r="CC133" s="44"/>
    </row>
    <row r="134" ht="21.0" customHeight="1">
      <c r="A134" s="12"/>
      <c r="B134" s="108"/>
      <c r="C134" s="108"/>
      <c r="D134" s="108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4"/>
      <c r="CB134" s="44"/>
      <c r="CC134" s="44"/>
    </row>
    <row r="135" ht="21.0" customHeight="1">
      <c r="A135" s="12"/>
      <c r="B135" s="108"/>
      <c r="C135" s="108"/>
      <c r="D135" s="108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4"/>
      <c r="CB135" s="44"/>
      <c r="CC135" s="44"/>
    </row>
    <row r="136" ht="21.0" customHeight="1">
      <c r="A136" s="12"/>
      <c r="B136" s="108"/>
      <c r="C136" s="108"/>
      <c r="D136" s="108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4"/>
      <c r="CB136" s="44"/>
      <c r="CC136" s="44"/>
    </row>
    <row r="137" ht="21.0" customHeight="1">
      <c r="A137" s="12"/>
      <c r="B137" s="108"/>
      <c r="C137" s="108"/>
      <c r="D137" s="108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4"/>
      <c r="CB137" s="44"/>
      <c r="CC137" s="44"/>
    </row>
    <row r="138" ht="21.0" customHeight="1">
      <c r="A138" s="12"/>
      <c r="B138" s="108"/>
      <c r="C138" s="108"/>
      <c r="D138" s="108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47"/>
      <c r="AW138" s="47"/>
      <c r="AX138" s="47"/>
      <c r="AY138" s="47"/>
      <c r="AZ138" s="47"/>
      <c r="BA138" s="47"/>
      <c r="BB138" s="47"/>
      <c r="BC138" s="47"/>
      <c r="BD138" s="47"/>
      <c r="BE138" s="47"/>
      <c r="BF138" s="47"/>
      <c r="BG138" s="47"/>
      <c r="BH138" s="47"/>
      <c r="BI138" s="47"/>
      <c r="BJ138" s="47"/>
      <c r="BK138" s="47"/>
      <c r="BL138" s="47"/>
      <c r="BM138" s="47"/>
      <c r="BN138" s="47"/>
      <c r="BO138" s="47"/>
      <c r="BP138" s="47"/>
      <c r="BQ138" s="47"/>
      <c r="BR138" s="47"/>
      <c r="BS138" s="47"/>
      <c r="BT138" s="47"/>
      <c r="BU138" s="47"/>
      <c r="BV138" s="47"/>
      <c r="BW138" s="47"/>
      <c r="BX138" s="47"/>
      <c r="BY138" s="47"/>
      <c r="BZ138" s="47"/>
      <c r="CA138" s="47"/>
      <c r="CB138" s="47"/>
      <c r="CC138" s="47"/>
    </row>
    <row r="139" ht="21.0" customHeight="1">
      <c r="A139" s="12"/>
      <c r="B139" s="108"/>
      <c r="C139" s="108"/>
      <c r="D139" s="108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47"/>
      <c r="AW139" s="47"/>
      <c r="AX139" s="47"/>
      <c r="AY139" s="47"/>
      <c r="AZ139" s="47"/>
      <c r="BA139" s="47"/>
      <c r="BB139" s="47"/>
      <c r="BC139" s="47"/>
      <c r="BD139" s="47"/>
      <c r="BE139" s="47"/>
      <c r="BF139" s="47"/>
      <c r="BG139" s="47"/>
      <c r="BH139" s="47"/>
      <c r="BI139" s="47"/>
      <c r="BJ139" s="47"/>
      <c r="BK139" s="47"/>
      <c r="BL139" s="47"/>
      <c r="BM139" s="47"/>
      <c r="BN139" s="47"/>
      <c r="BO139" s="47"/>
      <c r="BP139" s="47"/>
      <c r="BQ139" s="47"/>
      <c r="BR139" s="47"/>
      <c r="BS139" s="47"/>
      <c r="BT139" s="47"/>
      <c r="BU139" s="47"/>
      <c r="BV139" s="47"/>
      <c r="BW139" s="47"/>
      <c r="BX139" s="47"/>
      <c r="BY139" s="47"/>
      <c r="BZ139" s="47"/>
      <c r="CA139" s="47"/>
      <c r="CB139" s="47"/>
      <c r="CC139" s="47"/>
    </row>
    <row r="140" ht="21.0" customHeight="1">
      <c r="A140" s="12"/>
      <c r="B140" s="108"/>
      <c r="C140" s="108"/>
      <c r="D140" s="108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47"/>
      <c r="AW140" s="47"/>
      <c r="AX140" s="47"/>
      <c r="AY140" s="47"/>
      <c r="AZ140" s="47"/>
      <c r="BA140" s="47"/>
      <c r="BB140" s="47"/>
      <c r="BC140" s="47"/>
      <c r="BD140" s="47"/>
      <c r="BE140" s="47"/>
      <c r="BF140" s="47"/>
      <c r="BG140" s="47"/>
      <c r="BH140" s="47"/>
      <c r="BI140" s="47"/>
      <c r="BJ140" s="47"/>
      <c r="BK140" s="47"/>
      <c r="BL140" s="47"/>
      <c r="BM140" s="47"/>
      <c r="BN140" s="47"/>
      <c r="BO140" s="47"/>
      <c r="BP140" s="47"/>
      <c r="BQ140" s="47"/>
      <c r="BR140" s="47"/>
      <c r="BS140" s="47"/>
      <c r="BT140" s="47"/>
      <c r="BU140" s="47"/>
      <c r="BV140" s="47"/>
      <c r="BW140" s="47"/>
      <c r="BX140" s="47"/>
      <c r="BY140" s="47"/>
      <c r="BZ140" s="47"/>
      <c r="CA140" s="47"/>
      <c r="CB140" s="47"/>
      <c r="CC140" s="47"/>
    </row>
    <row r="141" ht="21.0" customHeight="1">
      <c r="A141" s="12"/>
      <c r="B141" s="108"/>
      <c r="C141" s="108"/>
      <c r="D141" s="108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47"/>
      <c r="AW141" s="47"/>
      <c r="AX141" s="47"/>
      <c r="AY141" s="47"/>
      <c r="AZ141" s="47"/>
      <c r="BA141" s="47"/>
      <c r="BB141" s="47"/>
      <c r="BC141" s="47"/>
      <c r="BD141" s="47"/>
      <c r="BE141" s="47"/>
      <c r="BF141" s="47"/>
      <c r="BG141" s="47"/>
      <c r="BH141" s="47"/>
      <c r="BI141" s="47"/>
      <c r="BJ141" s="47"/>
      <c r="BK141" s="47"/>
      <c r="BL141" s="47"/>
      <c r="BM141" s="47"/>
      <c r="BN141" s="47"/>
      <c r="BO141" s="47"/>
      <c r="BP141" s="47"/>
      <c r="BQ141" s="47"/>
      <c r="BR141" s="47"/>
      <c r="BS141" s="47"/>
      <c r="BT141" s="47"/>
      <c r="BU141" s="47"/>
      <c r="BV141" s="47"/>
      <c r="BW141" s="47"/>
      <c r="BX141" s="47"/>
      <c r="BY141" s="47"/>
      <c r="BZ141" s="47"/>
      <c r="CA141" s="47"/>
      <c r="CB141" s="47"/>
      <c r="CC141" s="47"/>
    </row>
    <row r="142" ht="20.25" customHeight="1">
      <c r="A142" s="12"/>
      <c r="B142" s="107"/>
      <c r="C142" s="107"/>
      <c r="D142" s="108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47"/>
      <c r="AW142" s="47"/>
      <c r="AX142" s="47"/>
      <c r="AY142" s="47"/>
      <c r="AZ142" s="47"/>
      <c r="BA142" s="47"/>
      <c r="BB142" s="47"/>
      <c r="BC142" s="47"/>
      <c r="BD142" s="47"/>
      <c r="BE142" s="47"/>
      <c r="BF142" s="47"/>
      <c r="BG142" s="47"/>
      <c r="BH142" s="47"/>
      <c r="BI142" s="47"/>
      <c r="BJ142" s="47"/>
      <c r="BK142" s="47"/>
      <c r="BL142" s="47"/>
      <c r="BM142" s="47"/>
      <c r="BN142" s="47"/>
      <c r="BO142" s="47"/>
      <c r="BP142" s="47"/>
      <c r="BQ142" s="47"/>
      <c r="BR142" s="47"/>
      <c r="BS142" s="47"/>
      <c r="BT142" s="47"/>
      <c r="BU142" s="47"/>
      <c r="BV142" s="47"/>
      <c r="BW142" s="47"/>
      <c r="BX142" s="47"/>
      <c r="BY142" s="47"/>
      <c r="BZ142" s="47"/>
      <c r="CA142" s="47"/>
      <c r="CB142" s="47"/>
      <c r="CC142" s="47"/>
    </row>
    <row r="143" ht="20.25" customHeight="1">
      <c r="A143" s="12"/>
      <c r="B143" s="108"/>
      <c r="C143" s="108"/>
      <c r="D143" s="108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47"/>
      <c r="BB143" s="47"/>
      <c r="BC143" s="47"/>
      <c r="BD143" s="47"/>
      <c r="BE143" s="47"/>
      <c r="BF143" s="47"/>
      <c r="BG143" s="47"/>
      <c r="BH143" s="47"/>
      <c r="BI143" s="47"/>
      <c r="BJ143" s="47"/>
      <c r="BK143" s="47"/>
      <c r="BL143" s="47"/>
      <c r="BM143" s="47"/>
      <c r="BN143" s="47"/>
      <c r="BO143" s="47"/>
      <c r="BP143" s="47"/>
      <c r="BQ143" s="47"/>
      <c r="BR143" s="47"/>
      <c r="BS143" s="47"/>
      <c r="BT143" s="47"/>
      <c r="BU143" s="47"/>
      <c r="BV143" s="47"/>
      <c r="BW143" s="47"/>
      <c r="BX143" s="47"/>
      <c r="BY143" s="47"/>
      <c r="BZ143" s="47"/>
      <c r="CA143" s="47"/>
      <c r="CB143" s="47"/>
      <c r="CC143" s="47"/>
    </row>
    <row r="144" ht="20.25" customHeight="1">
      <c r="A144" s="12"/>
      <c r="B144" s="108"/>
      <c r="C144" s="108"/>
      <c r="D144" s="108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47"/>
      <c r="BB144" s="47"/>
      <c r="BC144" s="47"/>
      <c r="BD144" s="47"/>
      <c r="BE144" s="47"/>
      <c r="BF144" s="47"/>
      <c r="BG144" s="47"/>
      <c r="BH144" s="47"/>
      <c r="BI144" s="47"/>
      <c r="BJ144" s="47"/>
      <c r="BK144" s="47"/>
      <c r="BL144" s="47"/>
      <c r="BM144" s="47"/>
      <c r="BN144" s="47"/>
      <c r="BO144" s="47"/>
      <c r="BP144" s="47"/>
      <c r="BQ144" s="47"/>
      <c r="BR144" s="47"/>
      <c r="BS144" s="47"/>
      <c r="BT144" s="47"/>
      <c r="BU144" s="47"/>
      <c r="BV144" s="47"/>
      <c r="BW144" s="47"/>
      <c r="BX144" s="47"/>
      <c r="BY144" s="47"/>
      <c r="BZ144" s="47"/>
      <c r="CA144" s="47"/>
      <c r="CB144" s="47"/>
      <c r="CC144" s="47"/>
    </row>
    <row r="145" ht="21.0" customHeight="1">
      <c r="A145" s="12"/>
      <c r="B145" s="107"/>
      <c r="C145" s="107"/>
      <c r="D145" s="108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47"/>
      <c r="AW145" s="47"/>
      <c r="AX145" s="47"/>
      <c r="AY145" s="47"/>
      <c r="AZ145" s="47"/>
      <c r="BA145" s="47"/>
      <c r="BB145" s="47"/>
      <c r="BC145" s="47"/>
      <c r="BD145" s="47"/>
      <c r="BE145" s="47"/>
      <c r="BF145" s="47"/>
      <c r="BG145" s="47"/>
      <c r="BH145" s="47"/>
      <c r="BI145" s="47"/>
      <c r="BJ145" s="47"/>
      <c r="BK145" s="47"/>
      <c r="BL145" s="47"/>
      <c r="BM145" s="47"/>
      <c r="BN145" s="47"/>
      <c r="BO145" s="47"/>
      <c r="BP145" s="47"/>
      <c r="BQ145" s="47"/>
      <c r="BR145" s="47"/>
      <c r="BS145" s="47"/>
      <c r="BT145" s="47"/>
      <c r="BU145" s="47"/>
      <c r="BV145" s="47"/>
      <c r="BW145" s="47"/>
      <c r="BX145" s="47"/>
      <c r="BY145" s="47"/>
      <c r="BZ145" s="47"/>
      <c r="CA145" s="47"/>
      <c r="CB145" s="47"/>
      <c r="CC145" s="47"/>
    </row>
    <row r="146" ht="21.0" customHeight="1">
      <c r="A146" s="12"/>
      <c r="B146" s="108"/>
      <c r="C146" s="108"/>
      <c r="D146" s="108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47"/>
      <c r="AW146" s="47"/>
      <c r="AX146" s="47"/>
      <c r="AY146" s="47"/>
      <c r="AZ146" s="47"/>
      <c r="BA146" s="47"/>
      <c r="BB146" s="47"/>
      <c r="BC146" s="47"/>
      <c r="BD146" s="47"/>
      <c r="BE146" s="47"/>
      <c r="BF146" s="47"/>
      <c r="BG146" s="47"/>
      <c r="BH146" s="47"/>
      <c r="BI146" s="47"/>
      <c r="BJ146" s="47"/>
      <c r="BK146" s="47"/>
      <c r="BL146" s="47"/>
      <c r="BM146" s="47"/>
      <c r="BN146" s="47"/>
      <c r="BO146" s="47"/>
      <c r="BP146" s="47"/>
      <c r="BQ146" s="47"/>
      <c r="BR146" s="47"/>
      <c r="BS146" s="47"/>
      <c r="BT146" s="47"/>
      <c r="BU146" s="47"/>
      <c r="BV146" s="47"/>
      <c r="BW146" s="47"/>
      <c r="BX146" s="47"/>
      <c r="BY146" s="47"/>
      <c r="BZ146" s="47"/>
      <c r="CA146" s="47"/>
      <c r="CB146" s="47"/>
      <c r="CC146" s="47"/>
    </row>
    <row r="147" ht="21.0" customHeight="1">
      <c r="A147" s="12"/>
      <c r="B147" s="108"/>
      <c r="C147" s="108"/>
      <c r="D147" s="108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47"/>
      <c r="AW147" s="47"/>
      <c r="AX147" s="47"/>
      <c r="AY147" s="47"/>
      <c r="AZ147" s="47"/>
      <c r="BA147" s="47"/>
      <c r="BB147" s="47"/>
      <c r="BC147" s="47"/>
      <c r="BD147" s="47"/>
      <c r="BE147" s="47"/>
      <c r="BF147" s="47"/>
      <c r="BG147" s="47"/>
      <c r="BH147" s="47"/>
      <c r="BI147" s="47"/>
      <c r="BJ147" s="47"/>
      <c r="BK147" s="47"/>
      <c r="BL147" s="47"/>
      <c r="BM147" s="47"/>
      <c r="BN147" s="47"/>
      <c r="BO147" s="47"/>
      <c r="BP147" s="47"/>
      <c r="BQ147" s="47"/>
      <c r="BR147" s="47"/>
      <c r="BS147" s="47"/>
      <c r="BT147" s="47"/>
      <c r="BU147" s="47"/>
      <c r="BV147" s="47"/>
      <c r="BW147" s="47"/>
      <c r="BX147" s="47"/>
      <c r="BY147" s="47"/>
      <c r="BZ147" s="47"/>
      <c r="CA147" s="47"/>
      <c r="CB147" s="47"/>
      <c r="CC147" s="47"/>
    </row>
    <row r="148" ht="21.0" customHeight="1">
      <c r="A148" s="12"/>
      <c r="B148" s="108"/>
      <c r="C148" s="108"/>
      <c r="D148" s="108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47"/>
      <c r="AW148" s="47"/>
      <c r="AX148" s="47"/>
      <c r="AY148" s="47"/>
      <c r="AZ148" s="47"/>
      <c r="BA148" s="47"/>
      <c r="BB148" s="47"/>
      <c r="BC148" s="47"/>
      <c r="BD148" s="47"/>
      <c r="BE148" s="47"/>
      <c r="BF148" s="47"/>
      <c r="BG148" s="47"/>
      <c r="BH148" s="47"/>
      <c r="BI148" s="47"/>
      <c r="BJ148" s="47"/>
      <c r="BK148" s="47"/>
      <c r="BL148" s="47"/>
      <c r="BM148" s="47"/>
      <c r="BN148" s="47"/>
      <c r="BO148" s="47"/>
      <c r="BP148" s="47"/>
      <c r="BQ148" s="47"/>
      <c r="BR148" s="47"/>
      <c r="BS148" s="47"/>
      <c r="BT148" s="47"/>
      <c r="BU148" s="47"/>
      <c r="BV148" s="47"/>
      <c r="BW148" s="47"/>
      <c r="BX148" s="47"/>
      <c r="BY148" s="47"/>
      <c r="BZ148" s="47"/>
      <c r="CA148" s="47"/>
      <c r="CB148" s="47"/>
      <c r="CC148" s="47"/>
    </row>
    <row r="149" ht="21.0" customHeight="1">
      <c r="A149" s="12"/>
      <c r="B149" s="108"/>
      <c r="C149" s="108"/>
      <c r="D149" s="108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47"/>
      <c r="AW149" s="47"/>
      <c r="AX149" s="47"/>
      <c r="AY149" s="47"/>
      <c r="AZ149" s="47"/>
      <c r="BA149" s="47"/>
      <c r="BB149" s="47"/>
      <c r="BC149" s="47"/>
      <c r="BD149" s="47"/>
      <c r="BE149" s="47"/>
      <c r="BF149" s="47"/>
      <c r="BG149" s="47"/>
      <c r="BH149" s="47"/>
      <c r="BI149" s="47"/>
      <c r="BJ149" s="47"/>
      <c r="BK149" s="47"/>
      <c r="BL149" s="47"/>
      <c r="BM149" s="47"/>
      <c r="BN149" s="47"/>
      <c r="BO149" s="47"/>
      <c r="BP149" s="47"/>
      <c r="BQ149" s="47"/>
      <c r="BR149" s="47"/>
      <c r="BS149" s="47"/>
      <c r="BT149" s="47"/>
      <c r="BU149" s="47"/>
      <c r="BV149" s="47"/>
      <c r="BW149" s="47"/>
      <c r="BX149" s="47"/>
      <c r="BY149" s="47"/>
      <c r="BZ149" s="47"/>
      <c r="CA149" s="47"/>
      <c r="CB149" s="47"/>
      <c r="CC149" s="47"/>
    </row>
    <row r="150" ht="21.0" customHeight="1">
      <c r="A150" s="12"/>
      <c r="B150" s="108"/>
      <c r="C150" s="108"/>
      <c r="D150" s="108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47"/>
      <c r="AW150" s="47"/>
      <c r="AX150" s="47"/>
      <c r="AY150" s="47"/>
      <c r="AZ150" s="47"/>
      <c r="BA150" s="47"/>
      <c r="BB150" s="47"/>
      <c r="BC150" s="47"/>
      <c r="BD150" s="47"/>
      <c r="BE150" s="47"/>
      <c r="BF150" s="47"/>
      <c r="BG150" s="47"/>
      <c r="BH150" s="47"/>
      <c r="BI150" s="47"/>
      <c r="BJ150" s="47"/>
      <c r="BK150" s="47"/>
      <c r="BL150" s="47"/>
      <c r="BM150" s="47"/>
      <c r="BN150" s="47"/>
      <c r="BO150" s="47"/>
      <c r="BP150" s="47"/>
      <c r="BQ150" s="47"/>
      <c r="BR150" s="47"/>
      <c r="BS150" s="47"/>
      <c r="BT150" s="47"/>
      <c r="BU150" s="47"/>
      <c r="BV150" s="47"/>
      <c r="BW150" s="47"/>
      <c r="BX150" s="47"/>
      <c r="BY150" s="47"/>
      <c r="BZ150" s="47"/>
      <c r="CA150" s="47"/>
      <c r="CB150" s="47"/>
      <c r="CC150" s="47"/>
    </row>
    <row r="151" ht="21.0" customHeight="1">
      <c r="A151" s="12"/>
      <c r="B151" s="108"/>
      <c r="C151" s="108"/>
      <c r="D151" s="108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47"/>
      <c r="AW151" s="47"/>
      <c r="AX151" s="47"/>
      <c r="AY151" s="47"/>
      <c r="AZ151" s="47"/>
      <c r="BA151" s="47"/>
      <c r="BB151" s="47"/>
      <c r="BC151" s="47"/>
      <c r="BD151" s="47"/>
      <c r="BE151" s="47"/>
      <c r="BF151" s="47"/>
      <c r="BG151" s="47"/>
      <c r="BH151" s="47"/>
      <c r="BI151" s="47"/>
      <c r="BJ151" s="47"/>
      <c r="BK151" s="47"/>
      <c r="BL151" s="47"/>
      <c r="BM151" s="47"/>
      <c r="BN151" s="47"/>
      <c r="BO151" s="47"/>
      <c r="BP151" s="47"/>
      <c r="BQ151" s="47"/>
      <c r="BR151" s="47"/>
      <c r="BS151" s="47"/>
      <c r="BT151" s="47"/>
      <c r="BU151" s="47"/>
      <c r="BV151" s="47"/>
      <c r="BW151" s="47"/>
      <c r="BX151" s="47"/>
      <c r="BY151" s="47"/>
      <c r="BZ151" s="47"/>
      <c r="CA151" s="47"/>
      <c r="CB151" s="47"/>
      <c r="CC151" s="47"/>
    </row>
    <row r="152" ht="21.0" customHeight="1">
      <c r="A152" s="12"/>
      <c r="B152" s="108"/>
      <c r="C152" s="108"/>
      <c r="D152" s="108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47"/>
      <c r="BB152" s="47"/>
      <c r="BC152" s="47"/>
      <c r="BD152" s="47"/>
      <c r="BE152" s="47"/>
      <c r="BF152" s="47"/>
      <c r="BG152" s="47"/>
      <c r="BH152" s="47"/>
      <c r="BI152" s="47"/>
      <c r="BJ152" s="47"/>
      <c r="BK152" s="47"/>
      <c r="BL152" s="47"/>
      <c r="BM152" s="47"/>
      <c r="BN152" s="47"/>
      <c r="BO152" s="47"/>
      <c r="BP152" s="47"/>
      <c r="BQ152" s="47"/>
      <c r="BR152" s="47"/>
      <c r="BS152" s="47"/>
      <c r="BT152" s="47"/>
      <c r="BU152" s="47"/>
      <c r="BV152" s="47"/>
      <c r="BW152" s="47"/>
      <c r="BX152" s="47"/>
      <c r="BY152" s="47"/>
      <c r="BZ152" s="47"/>
      <c r="CA152" s="47"/>
      <c r="CB152" s="47"/>
      <c r="CC152" s="47"/>
    </row>
    <row r="153" ht="21.0" customHeight="1">
      <c r="A153" s="12"/>
      <c r="B153" s="108"/>
      <c r="C153" s="108"/>
      <c r="D153" s="108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47"/>
      <c r="AW153" s="47"/>
      <c r="AX153" s="47"/>
      <c r="AY153" s="47"/>
      <c r="AZ153" s="47"/>
      <c r="BA153" s="47"/>
      <c r="BB153" s="47"/>
      <c r="BC153" s="47"/>
      <c r="BD153" s="47"/>
      <c r="BE153" s="47"/>
      <c r="BF153" s="47"/>
      <c r="BG153" s="47"/>
      <c r="BH153" s="47"/>
      <c r="BI153" s="47"/>
      <c r="BJ153" s="47"/>
      <c r="BK153" s="47"/>
      <c r="BL153" s="47"/>
      <c r="BM153" s="47"/>
      <c r="BN153" s="47"/>
      <c r="BO153" s="47"/>
      <c r="BP153" s="47"/>
      <c r="BQ153" s="47"/>
      <c r="BR153" s="47"/>
      <c r="BS153" s="47"/>
      <c r="BT153" s="47"/>
      <c r="BU153" s="47"/>
      <c r="BV153" s="47"/>
      <c r="BW153" s="47"/>
      <c r="BX153" s="47"/>
      <c r="BY153" s="47"/>
      <c r="BZ153" s="47"/>
      <c r="CA153" s="47"/>
      <c r="CB153" s="47"/>
      <c r="CC153" s="47"/>
    </row>
    <row r="154" ht="21.0" customHeight="1">
      <c r="A154" s="12"/>
      <c r="B154" s="108"/>
      <c r="C154" s="108"/>
      <c r="D154" s="108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47"/>
      <c r="AW154" s="47"/>
      <c r="AX154" s="47"/>
      <c r="AY154" s="47"/>
      <c r="AZ154" s="47"/>
      <c r="BA154" s="47"/>
      <c r="BB154" s="47"/>
      <c r="BC154" s="47"/>
      <c r="BD154" s="47"/>
      <c r="BE154" s="47"/>
      <c r="BF154" s="47"/>
      <c r="BG154" s="47"/>
      <c r="BH154" s="47"/>
      <c r="BI154" s="47"/>
      <c r="BJ154" s="47"/>
      <c r="BK154" s="47"/>
      <c r="BL154" s="47"/>
      <c r="BM154" s="47"/>
      <c r="BN154" s="47"/>
      <c r="BO154" s="47"/>
      <c r="BP154" s="47"/>
      <c r="BQ154" s="47"/>
      <c r="BR154" s="47"/>
      <c r="BS154" s="47"/>
      <c r="BT154" s="47"/>
      <c r="BU154" s="47"/>
      <c r="BV154" s="47"/>
      <c r="BW154" s="47"/>
      <c r="BX154" s="47"/>
      <c r="BY154" s="47"/>
      <c r="BZ154" s="47"/>
      <c r="CA154" s="47"/>
      <c r="CB154" s="47"/>
      <c r="CC154" s="47"/>
    </row>
    <row r="155" ht="21.0" customHeight="1">
      <c r="A155" s="12"/>
      <c r="B155" s="108"/>
      <c r="C155" s="108"/>
      <c r="D155" s="108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47"/>
      <c r="AW155" s="47"/>
      <c r="AX155" s="47"/>
      <c r="AY155" s="47"/>
      <c r="AZ155" s="47"/>
      <c r="BA155" s="47"/>
      <c r="BB155" s="47"/>
      <c r="BC155" s="47"/>
      <c r="BD155" s="47"/>
      <c r="BE155" s="47"/>
      <c r="BF155" s="47"/>
      <c r="BG155" s="47"/>
      <c r="BH155" s="47"/>
      <c r="BI155" s="47"/>
      <c r="BJ155" s="47"/>
      <c r="BK155" s="47"/>
      <c r="BL155" s="47"/>
      <c r="BM155" s="47"/>
      <c r="BN155" s="47"/>
      <c r="BO155" s="47"/>
      <c r="BP155" s="47"/>
      <c r="BQ155" s="47"/>
      <c r="BR155" s="47"/>
      <c r="BS155" s="47"/>
      <c r="BT155" s="47"/>
      <c r="BU155" s="47"/>
      <c r="BV155" s="47"/>
      <c r="BW155" s="47"/>
      <c r="BX155" s="47"/>
      <c r="BY155" s="47"/>
      <c r="BZ155" s="47"/>
      <c r="CA155" s="47"/>
      <c r="CB155" s="47"/>
      <c r="CC155" s="47"/>
    </row>
    <row r="156" ht="21.0" customHeight="1">
      <c r="A156" s="12"/>
      <c r="B156" s="108"/>
      <c r="C156" s="108"/>
      <c r="D156" s="108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47"/>
      <c r="AW156" s="47"/>
      <c r="AX156" s="47"/>
      <c r="AY156" s="47"/>
      <c r="AZ156" s="47"/>
      <c r="BA156" s="47"/>
      <c r="BB156" s="47"/>
      <c r="BC156" s="47"/>
      <c r="BD156" s="47"/>
      <c r="BE156" s="47"/>
      <c r="BF156" s="47"/>
      <c r="BG156" s="47"/>
      <c r="BH156" s="47"/>
      <c r="BI156" s="47"/>
      <c r="BJ156" s="47"/>
      <c r="BK156" s="47"/>
      <c r="BL156" s="47"/>
      <c r="BM156" s="47"/>
      <c r="BN156" s="47"/>
      <c r="BO156" s="47"/>
      <c r="BP156" s="47"/>
      <c r="BQ156" s="47"/>
      <c r="BR156" s="47"/>
      <c r="BS156" s="47"/>
      <c r="BT156" s="47"/>
      <c r="BU156" s="47"/>
      <c r="BV156" s="47"/>
      <c r="BW156" s="47"/>
      <c r="BX156" s="47"/>
      <c r="BY156" s="47"/>
      <c r="BZ156" s="47"/>
      <c r="CA156" s="47"/>
      <c r="CB156" s="47"/>
      <c r="CC156" s="47"/>
    </row>
    <row r="157" ht="21.0" customHeight="1">
      <c r="A157" s="12"/>
      <c r="B157" s="108"/>
      <c r="C157" s="108"/>
      <c r="D157" s="108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47"/>
      <c r="AW157" s="47"/>
      <c r="AX157" s="47"/>
      <c r="AY157" s="47"/>
      <c r="AZ157" s="47"/>
      <c r="BA157" s="47"/>
      <c r="BB157" s="47"/>
      <c r="BC157" s="47"/>
      <c r="BD157" s="47"/>
      <c r="BE157" s="47"/>
      <c r="BF157" s="47"/>
      <c r="BG157" s="47"/>
      <c r="BH157" s="47"/>
      <c r="BI157" s="47"/>
      <c r="BJ157" s="47"/>
      <c r="BK157" s="47"/>
      <c r="BL157" s="47"/>
      <c r="BM157" s="47"/>
      <c r="BN157" s="47"/>
      <c r="BO157" s="47"/>
      <c r="BP157" s="47"/>
      <c r="BQ157" s="47"/>
      <c r="BR157" s="47"/>
      <c r="BS157" s="47"/>
      <c r="BT157" s="47"/>
      <c r="BU157" s="47"/>
      <c r="BV157" s="47"/>
      <c r="BW157" s="47"/>
      <c r="BX157" s="47"/>
      <c r="BY157" s="47"/>
      <c r="BZ157" s="47"/>
      <c r="CA157" s="47"/>
      <c r="CB157" s="47"/>
      <c r="CC157" s="47"/>
    </row>
    <row r="158" ht="21.0" customHeight="1">
      <c r="A158" s="12"/>
      <c r="B158" s="108"/>
      <c r="C158" s="108"/>
      <c r="D158" s="108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47"/>
      <c r="AW158" s="47"/>
      <c r="AX158" s="47"/>
      <c r="AY158" s="47"/>
      <c r="AZ158" s="47"/>
      <c r="BA158" s="47"/>
      <c r="BB158" s="47"/>
      <c r="BC158" s="47"/>
      <c r="BD158" s="47"/>
      <c r="BE158" s="47"/>
      <c r="BF158" s="47"/>
      <c r="BG158" s="47"/>
      <c r="BH158" s="47"/>
      <c r="BI158" s="47"/>
      <c r="BJ158" s="47"/>
      <c r="BK158" s="47"/>
      <c r="BL158" s="47"/>
      <c r="BM158" s="47"/>
      <c r="BN158" s="47"/>
      <c r="BO158" s="47"/>
      <c r="BP158" s="47"/>
      <c r="BQ158" s="47"/>
      <c r="BR158" s="47"/>
      <c r="BS158" s="47"/>
      <c r="BT158" s="47"/>
      <c r="BU158" s="47"/>
      <c r="BV158" s="47"/>
      <c r="BW158" s="47"/>
      <c r="BX158" s="47"/>
      <c r="BY158" s="47"/>
      <c r="BZ158" s="47"/>
      <c r="CA158" s="47"/>
      <c r="CB158" s="47"/>
      <c r="CC158" s="47"/>
    </row>
    <row r="159" ht="21.0" customHeight="1">
      <c r="A159" s="12"/>
      <c r="B159" s="108"/>
      <c r="C159" s="108"/>
      <c r="D159" s="108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47"/>
      <c r="AW159" s="47"/>
      <c r="AX159" s="47"/>
      <c r="AY159" s="47"/>
      <c r="AZ159" s="47"/>
      <c r="BA159" s="47"/>
      <c r="BB159" s="47"/>
      <c r="BC159" s="47"/>
      <c r="BD159" s="47"/>
      <c r="BE159" s="47"/>
      <c r="BF159" s="47"/>
      <c r="BG159" s="47"/>
      <c r="BH159" s="47"/>
      <c r="BI159" s="47"/>
      <c r="BJ159" s="47"/>
      <c r="BK159" s="47"/>
      <c r="BL159" s="47"/>
      <c r="BM159" s="47"/>
      <c r="BN159" s="47"/>
      <c r="BO159" s="47"/>
      <c r="BP159" s="47"/>
      <c r="BQ159" s="47"/>
      <c r="BR159" s="47"/>
      <c r="BS159" s="47"/>
      <c r="BT159" s="47"/>
      <c r="BU159" s="47"/>
      <c r="BV159" s="47"/>
      <c r="BW159" s="47"/>
      <c r="BX159" s="47"/>
      <c r="BY159" s="47"/>
      <c r="BZ159" s="47"/>
      <c r="CA159" s="47"/>
      <c r="CB159" s="47"/>
      <c r="CC159" s="47"/>
    </row>
    <row r="160" ht="21.0" customHeight="1">
      <c r="A160" s="12"/>
      <c r="B160" s="108"/>
      <c r="C160" s="108"/>
      <c r="D160" s="108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47"/>
      <c r="AW160" s="47"/>
      <c r="AX160" s="47"/>
      <c r="AY160" s="47"/>
      <c r="AZ160" s="47"/>
      <c r="BA160" s="47"/>
      <c r="BB160" s="47"/>
      <c r="BC160" s="47"/>
      <c r="BD160" s="47"/>
      <c r="BE160" s="47"/>
      <c r="BF160" s="47"/>
      <c r="BG160" s="47"/>
      <c r="BH160" s="47"/>
      <c r="BI160" s="47"/>
      <c r="BJ160" s="47"/>
      <c r="BK160" s="47"/>
      <c r="BL160" s="47"/>
      <c r="BM160" s="47"/>
      <c r="BN160" s="47"/>
      <c r="BO160" s="47"/>
      <c r="BP160" s="47"/>
      <c r="BQ160" s="47"/>
      <c r="BR160" s="47"/>
      <c r="BS160" s="47"/>
      <c r="BT160" s="47"/>
      <c r="BU160" s="47"/>
      <c r="BV160" s="47"/>
      <c r="BW160" s="47"/>
      <c r="BX160" s="47"/>
      <c r="BY160" s="47"/>
      <c r="BZ160" s="47"/>
      <c r="CA160" s="47"/>
      <c r="CB160" s="47"/>
      <c r="CC160" s="47"/>
    </row>
    <row r="161" ht="21.0" customHeight="1">
      <c r="A161" s="12"/>
      <c r="B161" s="108"/>
      <c r="C161" s="108"/>
      <c r="D161" s="108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47"/>
      <c r="AW161" s="47"/>
      <c r="AX161" s="47"/>
      <c r="AY161" s="47"/>
      <c r="AZ161" s="47"/>
      <c r="BA161" s="47"/>
      <c r="BB161" s="47"/>
      <c r="BC161" s="47"/>
      <c r="BD161" s="47"/>
      <c r="BE161" s="47"/>
      <c r="BF161" s="47"/>
      <c r="BG161" s="47"/>
      <c r="BH161" s="47"/>
      <c r="BI161" s="47"/>
      <c r="BJ161" s="47"/>
      <c r="BK161" s="47"/>
      <c r="BL161" s="47"/>
      <c r="BM161" s="47"/>
      <c r="BN161" s="47"/>
      <c r="BO161" s="47"/>
      <c r="BP161" s="47"/>
      <c r="BQ161" s="47"/>
      <c r="BR161" s="47"/>
      <c r="BS161" s="47"/>
      <c r="BT161" s="47"/>
      <c r="BU161" s="47"/>
      <c r="BV161" s="47"/>
      <c r="BW161" s="47"/>
      <c r="BX161" s="47"/>
      <c r="BY161" s="47"/>
      <c r="BZ161" s="47"/>
      <c r="CA161" s="47"/>
      <c r="CB161" s="47"/>
      <c r="CC161" s="47"/>
    </row>
    <row r="162" ht="21.0" customHeight="1">
      <c r="A162" s="12"/>
      <c r="B162" s="108"/>
      <c r="C162" s="108"/>
      <c r="D162" s="108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47"/>
      <c r="AW162" s="47"/>
      <c r="AX162" s="47"/>
      <c r="AY162" s="47"/>
      <c r="AZ162" s="47"/>
      <c r="BA162" s="47"/>
      <c r="BB162" s="47"/>
      <c r="BC162" s="47"/>
      <c r="BD162" s="47"/>
      <c r="BE162" s="47"/>
      <c r="BF162" s="47"/>
      <c r="BG162" s="47"/>
      <c r="BH162" s="47"/>
      <c r="BI162" s="47"/>
      <c r="BJ162" s="47"/>
      <c r="BK162" s="47"/>
      <c r="BL162" s="47"/>
      <c r="BM162" s="47"/>
      <c r="BN162" s="47"/>
      <c r="BO162" s="47"/>
      <c r="BP162" s="47"/>
      <c r="BQ162" s="47"/>
      <c r="BR162" s="47"/>
      <c r="BS162" s="47"/>
      <c r="BT162" s="47"/>
      <c r="BU162" s="47"/>
      <c r="BV162" s="47"/>
      <c r="BW162" s="47"/>
      <c r="BX162" s="47"/>
      <c r="BY162" s="47"/>
      <c r="BZ162" s="47"/>
      <c r="CA162" s="47"/>
      <c r="CB162" s="47"/>
      <c r="CC162" s="47"/>
    </row>
    <row r="163" ht="21.0" customHeight="1">
      <c r="A163" s="12"/>
      <c r="B163" s="108"/>
      <c r="C163" s="108"/>
      <c r="D163" s="108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47"/>
      <c r="AW163" s="47"/>
      <c r="AX163" s="47"/>
      <c r="AY163" s="47"/>
      <c r="AZ163" s="47"/>
      <c r="BA163" s="47"/>
      <c r="BB163" s="47"/>
      <c r="BC163" s="47"/>
      <c r="BD163" s="47"/>
      <c r="BE163" s="47"/>
      <c r="BF163" s="47"/>
      <c r="BG163" s="47"/>
      <c r="BH163" s="47"/>
      <c r="BI163" s="47"/>
      <c r="BJ163" s="47"/>
      <c r="BK163" s="47"/>
      <c r="BL163" s="47"/>
      <c r="BM163" s="47"/>
      <c r="BN163" s="47"/>
      <c r="BO163" s="47"/>
      <c r="BP163" s="47"/>
      <c r="BQ163" s="47"/>
      <c r="BR163" s="47"/>
      <c r="BS163" s="47"/>
      <c r="BT163" s="47"/>
      <c r="BU163" s="47"/>
      <c r="BV163" s="47"/>
      <c r="BW163" s="47"/>
      <c r="BX163" s="47"/>
      <c r="BY163" s="47"/>
      <c r="BZ163" s="47"/>
      <c r="CA163" s="47"/>
      <c r="CB163" s="47"/>
      <c r="CC163" s="47"/>
    </row>
    <row r="164" ht="21.0" customHeight="1">
      <c r="A164" s="12"/>
      <c r="B164" s="108"/>
      <c r="C164" s="108"/>
      <c r="D164" s="108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47"/>
      <c r="AW164" s="47"/>
      <c r="AX164" s="47"/>
      <c r="AY164" s="47"/>
      <c r="AZ164" s="47"/>
      <c r="BA164" s="47"/>
      <c r="BB164" s="47"/>
      <c r="BC164" s="47"/>
      <c r="BD164" s="47"/>
      <c r="BE164" s="47"/>
      <c r="BF164" s="47"/>
      <c r="BG164" s="47"/>
      <c r="BH164" s="47"/>
      <c r="BI164" s="47"/>
      <c r="BJ164" s="47"/>
      <c r="BK164" s="47"/>
      <c r="BL164" s="47"/>
      <c r="BM164" s="47"/>
      <c r="BN164" s="47"/>
      <c r="BO164" s="47"/>
      <c r="BP164" s="47"/>
      <c r="BQ164" s="47"/>
      <c r="BR164" s="47"/>
      <c r="BS164" s="47"/>
      <c r="BT164" s="47"/>
      <c r="BU164" s="47"/>
      <c r="BV164" s="47"/>
      <c r="BW164" s="47"/>
      <c r="BX164" s="47"/>
      <c r="BY164" s="47"/>
      <c r="BZ164" s="47"/>
      <c r="CA164" s="47"/>
      <c r="CB164" s="47"/>
      <c r="CC164" s="47"/>
    </row>
    <row r="165" ht="21.0" customHeight="1">
      <c r="A165" s="12"/>
      <c r="B165" s="108"/>
      <c r="C165" s="108"/>
      <c r="D165" s="108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47"/>
      <c r="AW165" s="47"/>
      <c r="AX165" s="47"/>
      <c r="AY165" s="47"/>
      <c r="AZ165" s="47"/>
      <c r="BA165" s="47"/>
      <c r="BB165" s="47"/>
      <c r="BC165" s="47"/>
      <c r="BD165" s="47"/>
      <c r="BE165" s="47"/>
      <c r="BF165" s="47"/>
      <c r="BG165" s="47"/>
      <c r="BH165" s="47"/>
      <c r="BI165" s="47"/>
      <c r="BJ165" s="47"/>
      <c r="BK165" s="47"/>
      <c r="BL165" s="47"/>
      <c r="BM165" s="47"/>
      <c r="BN165" s="47"/>
      <c r="BO165" s="47"/>
      <c r="BP165" s="47"/>
      <c r="BQ165" s="47"/>
      <c r="BR165" s="47"/>
      <c r="BS165" s="47"/>
      <c r="BT165" s="47"/>
      <c r="BU165" s="47"/>
      <c r="BV165" s="47"/>
      <c r="BW165" s="47"/>
      <c r="BX165" s="47"/>
      <c r="BY165" s="47"/>
      <c r="BZ165" s="47"/>
      <c r="CA165" s="47"/>
      <c r="CB165" s="47"/>
      <c r="CC165" s="47"/>
    </row>
    <row r="166" ht="21.0" customHeight="1">
      <c r="A166" s="12"/>
      <c r="B166" s="108"/>
      <c r="C166" s="108"/>
      <c r="D166" s="108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47"/>
      <c r="AW166" s="47"/>
      <c r="AX166" s="47"/>
      <c r="AY166" s="47"/>
      <c r="AZ166" s="47"/>
      <c r="BA166" s="47"/>
      <c r="BB166" s="47"/>
      <c r="BC166" s="47"/>
      <c r="BD166" s="47"/>
      <c r="BE166" s="47"/>
      <c r="BF166" s="47"/>
      <c r="BG166" s="47"/>
      <c r="BH166" s="47"/>
      <c r="BI166" s="47"/>
      <c r="BJ166" s="47"/>
      <c r="BK166" s="47"/>
      <c r="BL166" s="47"/>
      <c r="BM166" s="47"/>
      <c r="BN166" s="47"/>
      <c r="BO166" s="47"/>
      <c r="BP166" s="47"/>
      <c r="BQ166" s="47"/>
      <c r="BR166" s="47"/>
      <c r="BS166" s="47"/>
      <c r="BT166" s="47"/>
      <c r="BU166" s="47"/>
      <c r="BV166" s="47"/>
      <c r="BW166" s="47"/>
      <c r="BX166" s="47"/>
      <c r="BY166" s="47"/>
      <c r="BZ166" s="47"/>
      <c r="CA166" s="47"/>
      <c r="CB166" s="47"/>
      <c r="CC166" s="47"/>
    </row>
    <row r="167" ht="21.0" customHeight="1">
      <c r="A167" s="12"/>
      <c r="B167" s="108"/>
      <c r="C167" s="108"/>
      <c r="D167" s="108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47"/>
      <c r="AW167" s="47"/>
      <c r="AX167" s="47"/>
      <c r="AY167" s="47"/>
      <c r="AZ167" s="47"/>
      <c r="BA167" s="47"/>
      <c r="BB167" s="47"/>
      <c r="BC167" s="47"/>
      <c r="BD167" s="47"/>
      <c r="BE167" s="47"/>
      <c r="BF167" s="47"/>
      <c r="BG167" s="47"/>
      <c r="BH167" s="47"/>
      <c r="BI167" s="47"/>
      <c r="BJ167" s="47"/>
      <c r="BK167" s="47"/>
      <c r="BL167" s="47"/>
      <c r="BM167" s="47"/>
      <c r="BN167" s="47"/>
      <c r="BO167" s="47"/>
      <c r="BP167" s="47"/>
      <c r="BQ167" s="47"/>
      <c r="BR167" s="47"/>
      <c r="BS167" s="47"/>
      <c r="BT167" s="47"/>
      <c r="BU167" s="47"/>
      <c r="BV167" s="47"/>
      <c r="BW167" s="47"/>
      <c r="BX167" s="47"/>
      <c r="BY167" s="47"/>
      <c r="BZ167" s="47"/>
      <c r="CA167" s="47"/>
      <c r="CB167" s="47"/>
      <c r="CC167" s="47"/>
    </row>
    <row r="168" ht="21.0" customHeight="1">
      <c r="A168" s="12"/>
      <c r="B168" s="108"/>
      <c r="C168" s="108"/>
      <c r="D168" s="108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47"/>
      <c r="AW168" s="47"/>
      <c r="AX168" s="47"/>
      <c r="AY168" s="47"/>
      <c r="AZ168" s="47"/>
      <c r="BA168" s="47"/>
      <c r="BB168" s="47"/>
      <c r="BC168" s="47"/>
      <c r="BD168" s="47"/>
      <c r="BE168" s="47"/>
      <c r="BF168" s="47"/>
      <c r="BG168" s="47"/>
      <c r="BH168" s="47"/>
      <c r="BI168" s="47"/>
      <c r="BJ168" s="47"/>
      <c r="BK168" s="47"/>
      <c r="BL168" s="47"/>
      <c r="BM168" s="47"/>
      <c r="BN168" s="47"/>
      <c r="BO168" s="47"/>
      <c r="BP168" s="47"/>
      <c r="BQ168" s="47"/>
      <c r="BR168" s="47"/>
      <c r="BS168" s="47"/>
      <c r="BT168" s="47"/>
      <c r="BU168" s="47"/>
      <c r="BV168" s="47"/>
      <c r="BW168" s="47"/>
      <c r="BX168" s="47"/>
      <c r="BY168" s="47"/>
      <c r="BZ168" s="47"/>
      <c r="CA168" s="47"/>
      <c r="CB168" s="47"/>
      <c r="CC168" s="47"/>
    </row>
    <row r="169" ht="21.0" customHeight="1">
      <c r="A169" s="12"/>
      <c r="B169" s="107"/>
      <c r="C169" s="107"/>
      <c r="D169" s="108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47"/>
      <c r="AW169" s="47"/>
      <c r="AX169" s="47"/>
      <c r="AY169" s="47"/>
      <c r="AZ169" s="47"/>
      <c r="BA169" s="47"/>
      <c r="BB169" s="47"/>
      <c r="BC169" s="47"/>
      <c r="BD169" s="47"/>
      <c r="BE169" s="47"/>
      <c r="BF169" s="47"/>
      <c r="BG169" s="47"/>
      <c r="BH169" s="47"/>
      <c r="BI169" s="47"/>
      <c r="BJ169" s="47"/>
      <c r="BK169" s="47"/>
      <c r="BL169" s="47"/>
      <c r="BM169" s="47"/>
      <c r="BN169" s="47"/>
      <c r="BO169" s="47"/>
      <c r="BP169" s="47"/>
      <c r="BQ169" s="47"/>
      <c r="BR169" s="47"/>
      <c r="BS169" s="47"/>
      <c r="BT169" s="47"/>
      <c r="BU169" s="47"/>
      <c r="BV169" s="47"/>
      <c r="BW169" s="47"/>
      <c r="BX169" s="47"/>
      <c r="BY169" s="47"/>
      <c r="BZ169" s="47"/>
      <c r="CA169" s="47"/>
      <c r="CB169" s="47"/>
      <c r="CC169" s="47"/>
    </row>
    <row r="170" ht="21.0" customHeight="1">
      <c r="A170" s="12"/>
      <c r="B170" s="107"/>
      <c r="C170" s="107"/>
      <c r="D170" s="108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47"/>
      <c r="AW170" s="47"/>
      <c r="AX170" s="47"/>
      <c r="AY170" s="47"/>
      <c r="AZ170" s="47"/>
      <c r="BA170" s="47"/>
      <c r="BB170" s="47"/>
      <c r="BC170" s="47"/>
      <c r="BD170" s="47"/>
      <c r="BE170" s="47"/>
      <c r="BF170" s="47"/>
      <c r="BG170" s="47"/>
      <c r="BH170" s="47"/>
      <c r="BI170" s="47"/>
      <c r="BJ170" s="47"/>
      <c r="BK170" s="47"/>
      <c r="BL170" s="47"/>
      <c r="BM170" s="47"/>
      <c r="BN170" s="47"/>
      <c r="BO170" s="47"/>
      <c r="BP170" s="47"/>
      <c r="BQ170" s="47"/>
      <c r="BR170" s="47"/>
      <c r="BS170" s="47"/>
      <c r="BT170" s="47"/>
      <c r="BU170" s="47"/>
      <c r="BV170" s="47"/>
      <c r="BW170" s="47"/>
      <c r="BX170" s="47"/>
      <c r="BY170" s="47"/>
      <c r="BZ170" s="47"/>
      <c r="CA170" s="47"/>
      <c r="CB170" s="47"/>
      <c r="CC170" s="47"/>
    </row>
    <row r="171" ht="21.0" customHeight="1">
      <c r="A171" s="12"/>
      <c r="B171" s="108"/>
      <c r="C171" s="108"/>
      <c r="D171" s="108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47"/>
      <c r="AW171" s="47"/>
      <c r="AX171" s="47"/>
      <c r="AY171" s="47"/>
      <c r="AZ171" s="47"/>
      <c r="BA171" s="47"/>
      <c r="BB171" s="47"/>
      <c r="BC171" s="47"/>
      <c r="BD171" s="47"/>
      <c r="BE171" s="47"/>
      <c r="BF171" s="47"/>
      <c r="BG171" s="47"/>
      <c r="BH171" s="47"/>
      <c r="BI171" s="47"/>
      <c r="BJ171" s="47"/>
      <c r="BK171" s="47"/>
      <c r="BL171" s="47"/>
      <c r="BM171" s="47"/>
      <c r="BN171" s="47"/>
      <c r="BO171" s="47"/>
      <c r="BP171" s="47"/>
      <c r="BQ171" s="47"/>
      <c r="BR171" s="47"/>
      <c r="BS171" s="47"/>
      <c r="BT171" s="47"/>
      <c r="BU171" s="47"/>
      <c r="BV171" s="47"/>
      <c r="BW171" s="47"/>
      <c r="BX171" s="47"/>
      <c r="BY171" s="47"/>
      <c r="BZ171" s="47"/>
      <c r="CA171" s="47"/>
      <c r="CB171" s="47"/>
      <c r="CC171" s="47"/>
    </row>
    <row r="172" ht="21.0" customHeight="1">
      <c r="A172" s="12"/>
      <c r="B172" s="108"/>
      <c r="C172" s="108"/>
      <c r="D172" s="108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47"/>
      <c r="AW172" s="47"/>
      <c r="AX172" s="47"/>
      <c r="AY172" s="47"/>
      <c r="AZ172" s="47"/>
      <c r="BA172" s="47"/>
      <c r="BB172" s="47"/>
      <c r="BC172" s="47"/>
      <c r="BD172" s="47"/>
      <c r="BE172" s="47"/>
      <c r="BF172" s="47"/>
      <c r="BG172" s="47"/>
      <c r="BH172" s="47"/>
      <c r="BI172" s="47"/>
      <c r="BJ172" s="47"/>
      <c r="BK172" s="47"/>
      <c r="BL172" s="47"/>
      <c r="BM172" s="47"/>
      <c r="BN172" s="47"/>
      <c r="BO172" s="47"/>
      <c r="BP172" s="47"/>
      <c r="BQ172" s="47"/>
      <c r="BR172" s="47"/>
      <c r="BS172" s="47"/>
      <c r="BT172" s="47"/>
      <c r="BU172" s="47"/>
      <c r="BV172" s="47"/>
      <c r="BW172" s="47"/>
      <c r="BX172" s="47"/>
      <c r="BY172" s="47"/>
      <c r="BZ172" s="47"/>
      <c r="CA172" s="47"/>
      <c r="CB172" s="47"/>
      <c r="CC172" s="47"/>
    </row>
    <row r="173" ht="21.0" customHeight="1">
      <c r="A173" s="12"/>
      <c r="B173" s="108"/>
      <c r="C173" s="108"/>
      <c r="D173" s="108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47"/>
      <c r="AW173" s="47"/>
      <c r="AX173" s="47"/>
      <c r="AY173" s="47"/>
      <c r="AZ173" s="47"/>
      <c r="BA173" s="47"/>
      <c r="BB173" s="47"/>
      <c r="BC173" s="47"/>
      <c r="BD173" s="47"/>
      <c r="BE173" s="47"/>
      <c r="BF173" s="47"/>
      <c r="BG173" s="47"/>
      <c r="BH173" s="47"/>
      <c r="BI173" s="47"/>
      <c r="BJ173" s="47"/>
      <c r="BK173" s="47"/>
      <c r="BL173" s="47"/>
      <c r="BM173" s="47"/>
      <c r="BN173" s="47"/>
      <c r="BO173" s="47"/>
      <c r="BP173" s="47"/>
      <c r="BQ173" s="47"/>
      <c r="BR173" s="47"/>
      <c r="BS173" s="47"/>
      <c r="BT173" s="47"/>
      <c r="BU173" s="47"/>
      <c r="BV173" s="47"/>
      <c r="BW173" s="47"/>
      <c r="BX173" s="47"/>
      <c r="BY173" s="47"/>
      <c r="BZ173" s="47"/>
      <c r="CA173" s="47"/>
      <c r="CB173" s="47"/>
      <c r="CC173" s="47"/>
    </row>
    <row r="174" ht="21.0" customHeight="1">
      <c r="A174" s="12"/>
      <c r="B174" s="107"/>
      <c r="C174" s="107"/>
      <c r="D174" s="108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47"/>
      <c r="AW174" s="47"/>
      <c r="AX174" s="47"/>
      <c r="AY174" s="47"/>
      <c r="AZ174" s="47"/>
      <c r="BA174" s="47"/>
      <c r="BB174" s="47"/>
      <c r="BC174" s="47"/>
      <c r="BD174" s="47"/>
      <c r="BE174" s="47"/>
      <c r="BF174" s="47"/>
      <c r="BG174" s="47"/>
      <c r="BH174" s="47"/>
      <c r="BI174" s="47"/>
      <c r="BJ174" s="47"/>
      <c r="BK174" s="47"/>
      <c r="BL174" s="47"/>
      <c r="BM174" s="47"/>
      <c r="BN174" s="47"/>
      <c r="BO174" s="47"/>
      <c r="BP174" s="47"/>
      <c r="BQ174" s="47"/>
      <c r="BR174" s="47"/>
      <c r="BS174" s="47"/>
      <c r="BT174" s="47"/>
      <c r="BU174" s="47"/>
      <c r="BV174" s="47"/>
      <c r="BW174" s="47"/>
      <c r="BX174" s="47"/>
      <c r="BY174" s="47"/>
      <c r="BZ174" s="47"/>
      <c r="CA174" s="47"/>
      <c r="CB174" s="47"/>
      <c r="CC174" s="47"/>
    </row>
    <row r="175" ht="21.0" customHeight="1">
      <c r="A175" s="12"/>
      <c r="B175" s="108"/>
      <c r="C175" s="108"/>
      <c r="D175" s="108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47"/>
      <c r="AW175" s="47"/>
      <c r="AX175" s="47"/>
      <c r="AY175" s="47"/>
      <c r="AZ175" s="47"/>
      <c r="BA175" s="47"/>
      <c r="BB175" s="47"/>
      <c r="BC175" s="47"/>
      <c r="BD175" s="47"/>
      <c r="BE175" s="47"/>
      <c r="BF175" s="47"/>
      <c r="BG175" s="47"/>
      <c r="BH175" s="47"/>
      <c r="BI175" s="47"/>
      <c r="BJ175" s="47"/>
      <c r="BK175" s="47"/>
      <c r="BL175" s="47"/>
      <c r="BM175" s="47"/>
      <c r="BN175" s="47"/>
      <c r="BO175" s="47"/>
      <c r="BP175" s="47"/>
      <c r="BQ175" s="47"/>
      <c r="BR175" s="47"/>
      <c r="BS175" s="47"/>
      <c r="BT175" s="47"/>
      <c r="BU175" s="47"/>
      <c r="BV175" s="47"/>
      <c r="BW175" s="47"/>
      <c r="BX175" s="47"/>
      <c r="BY175" s="47"/>
      <c r="BZ175" s="47"/>
      <c r="CA175" s="47"/>
      <c r="CB175" s="47"/>
      <c r="CC175" s="47"/>
    </row>
    <row r="176" ht="21.0" customHeight="1">
      <c r="A176" s="12"/>
      <c r="B176" s="108"/>
      <c r="C176" s="108"/>
      <c r="D176" s="108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47"/>
      <c r="AW176" s="47"/>
      <c r="AX176" s="47"/>
      <c r="AY176" s="47"/>
      <c r="AZ176" s="47"/>
      <c r="BA176" s="47"/>
      <c r="BB176" s="47"/>
      <c r="BC176" s="47"/>
      <c r="BD176" s="47"/>
      <c r="BE176" s="47"/>
      <c r="BF176" s="47"/>
      <c r="BG176" s="47"/>
      <c r="BH176" s="47"/>
      <c r="BI176" s="47"/>
      <c r="BJ176" s="47"/>
      <c r="BK176" s="47"/>
      <c r="BL176" s="47"/>
      <c r="BM176" s="47"/>
      <c r="BN176" s="47"/>
      <c r="BO176" s="47"/>
      <c r="BP176" s="47"/>
      <c r="BQ176" s="47"/>
      <c r="BR176" s="47"/>
      <c r="BS176" s="47"/>
      <c r="BT176" s="47"/>
      <c r="BU176" s="47"/>
      <c r="BV176" s="47"/>
      <c r="BW176" s="47"/>
      <c r="BX176" s="47"/>
      <c r="BY176" s="47"/>
      <c r="BZ176" s="47"/>
      <c r="CA176" s="47"/>
      <c r="CB176" s="47"/>
      <c r="CC176" s="47"/>
    </row>
    <row r="177" ht="21.0" customHeight="1">
      <c r="A177" s="12"/>
      <c r="B177" s="108"/>
      <c r="C177" s="108"/>
      <c r="D177" s="108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47"/>
      <c r="AW177" s="47"/>
      <c r="AX177" s="47"/>
      <c r="AY177" s="47"/>
      <c r="AZ177" s="47"/>
      <c r="BA177" s="47"/>
      <c r="BB177" s="47"/>
      <c r="BC177" s="47"/>
      <c r="BD177" s="47"/>
      <c r="BE177" s="47"/>
      <c r="BF177" s="47"/>
      <c r="BG177" s="47"/>
      <c r="BH177" s="47"/>
      <c r="BI177" s="47"/>
      <c r="BJ177" s="47"/>
      <c r="BK177" s="47"/>
      <c r="BL177" s="47"/>
      <c r="BM177" s="47"/>
      <c r="BN177" s="47"/>
      <c r="BO177" s="47"/>
      <c r="BP177" s="47"/>
      <c r="BQ177" s="47"/>
      <c r="BR177" s="47"/>
      <c r="BS177" s="47"/>
      <c r="BT177" s="47"/>
      <c r="BU177" s="47"/>
      <c r="BV177" s="47"/>
      <c r="BW177" s="47"/>
      <c r="BX177" s="47"/>
      <c r="BY177" s="47"/>
      <c r="BZ177" s="47"/>
      <c r="CA177" s="47"/>
      <c r="CB177" s="47"/>
      <c r="CC177" s="47"/>
    </row>
    <row r="178" ht="21.0" customHeight="1">
      <c r="A178" s="12"/>
      <c r="B178" s="107"/>
      <c r="C178" s="107"/>
      <c r="D178" s="108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47"/>
      <c r="AW178" s="47"/>
      <c r="AX178" s="47"/>
      <c r="AY178" s="47"/>
      <c r="AZ178" s="47"/>
      <c r="BA178" s="47"/>
      <c r="BB178" s="47"/>
      <c r="BC178" s="47"/>
      <c r="BD178" s="47"/>
      <c r="BE178" s="47"/>
      <c r="BF178" s="47"/>
      <c r="BG178" s="47"/>
      <c r="BH178" s="47"/>
      <c r="BI178" s="47"/>
      <c r="BJ178" s="47"/>
      <c r="BK178" s="47"/>
      <c r="BL178" s="47"/>
      <c r="BM178" s="47"/>
      <c r="BN178" s="47"/>
      <c r="BO178" s="47"/>
      <c r="BP178" s="47"/>
      <c r="BQ178" s="47"/>
      <c r="BR178" s="47"/>
      <c r="BS178" s="47"/>
      <c r="BT178" s="47"/>
      <c r="BU178" s="47"/>
      <c r="BV178" s="47"/>
      <c r="BW178" s="47"/>
      <c r="BX178" s="47"/>
      <c r="BY178" s="47"/>
      <c r="BZ178" s="47"/>
      <c r="CA178" s="47"/>
      <c r="CB178" s="47"/>
      <c r="CC178" s="47"/>
    </row>
    <row r="179" ht="21.0" customHeight="1">
      <c r="A179" s="12"/>
      <c r="B179" s="108"/>
      <c r="C179" s="108"/>
      <c r="D179" s="108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47"/>
      <c r="AW179" s="47"/>
      <c r="AX179" s="47"/>
      <c r="AY179" s="47"/>
      <c r="AZ179" s="47"/>
      <c r="BA179" s="47"/>
      <c r="BB179" s="47"/>
      <c r="BC179" s="47"/>
      <c r="BD179" s="47"/>
      <c r="BE179" s="47"/>
      <c r="BF179" s="47"/>
      <c r="BG179" s="47"/>
      <c r="BH179" s="47"/>
      <c r="BI179" s="47"/>
      <c r="BJ179" s="47"/>
      <c r="BK179" s="47"/>
      <c r="BL179" s="47"/>
      <c r="BM179" s="47"/>
      <c r="BN179" s="47"/>
      <c r="BO179" s="47"/>
      <c r="BP179" s="47"/>
      <c r="BQ179" s="47"/>
      <c r="BR179" s="47"/>
      <c r="BS179" s="47"/>
      <c r="BT179" s="47"/>
      <c r="BU179" s="47"/>
      <c r="BV179" s="47"/>
      <c r="BW179" s="47"/>
      <c r="BX179" s="47"/>
      <c r="BY179" s="47"/>
      <c r="BZ179" s="47"/>
      <c r="CA179" s="47"/>
      <c r="CB179" s="47"/>
      <c r="CC179" s="47"/>
    </row>
    <row r="180" ht="21.0" customHeight="1">
      <c r="A180" s="12"/>
      <c r="B180" s="108"/>
      <c r="C180" s="108"/>
      <c r="D180" s="108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47"/>
      <c r="AW180" s="47"/>
      <c r="AX180" s="47"/>
      <c r="AY180" s="47"/>
      <c r="AZ180" s="47"/>
      <c r="BA180" s="47"/>
      <c r="BB180" s="47"/>
      <c r="BC180" s="47"/>
      <c r="BD180" s="47"/>
      <c r="BE180" s="47"/>
      <c r="BF180" s="47"/>
      <c r="BG180" s="47"/>
      <c r="BH180" s="47"/>
      <c r="BI180" s="47"/>
      <c r="BJ180" s="47"/>
      <c r="BK180" s="47"/>
      <c r="BL180" s="47"/>
      <c r="BM180" s="47"/>
      <c r="BN180" s="47"/>
      <c r="BO180" s="47"/>
      <c r="BP180" s="47"/>
      <c r="BQ180" s="47"/>
      <c r="BR180" s="47"/>
      <c r="BS180" s="47"/>
      <c r="BT180" s="47"/>
      <c r="BU180" s="47"/>
      <c r="BV180" s="47"/>
      <c r="BW180" s="47"/>
      <c r="BX180" s="47"/>
      <c r="BY180" s="47"/>
      <c r="BZ180" s="47"/>
      <c r="CA180" s="47"/>
      <c r="CB180" s="47"/>
      <c r="CC180" s="47"/>
    </row>
    <row r="181" ht="21.0" customHeight="1">
      <c r="A181" s="12"/>
      <c r="B181" s="107"/>
      <c r="C181" s="107"/>
      <c r="D181" s="108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47"/>
      <c r="AW181" s="47"/>
      <c r="AX181" s="47"/>
      <c r="AY181" s="47"/>
      <c r="AZ181" s="47"/>
      <c r="BA181" s="47"/>
      <c r="BB181" s="47"/>
      <c r="BC181" s="47"/>
      <c r="BD181" s="47"/>
      <c r="BE181" s="47"/>
      <c r="BF181" s="47"/>
      <c r="BG181" s="47"/>
      <c r="BH181" s="47"/>
      <c r="BI181" s="47"/>
      <c r="BJ181" s="47"/>
      <c r="BK181" s="47"/>
      <c r="BL181" s="47"/>
      <c r="BM181" s="47"/>
      <c r="BN181" s="47"/>
      <c r="BO181" s="47"/>
      <c r="BP181" s="47"/>
      <c r="BQ181" s="47"/>
      <c r="BR181" s="47"/>
      <c r="BS181" s="47"/>
      <c r="BT181" s="47"/>
      <c r="BU181" s="47"/>
      <c r="BV181" s="47"/>
      <c r="BW181" s="47"/>
      <c r="BX181" s="47"/>
      <c r="BY181" s="47"/>
      <c r="BZ181" s="47"/>
      <c r="CA181" s="47"/>
      <c r="CB181" s="47"/>
      <c r="CC181" s="47"/>
    </row>
    <row r="182" ht="21.0" customHeight="1">
      <c r="A182" s="12"/>
      <c r="B182" s="108"/>
      <c r="C182" s="108"/>
      <c r="D182" s="108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47"/>
      <c r="AW182" s="47"/>
      <c r="AX182" s="47"/>
      <c r="AY182" s="47"/>
      <c r="AZ182" s="47"/>
      <c r="BA182" s="47"/>
      <c r="BB182" s="47"/>
      <c r="BC182" s="47"/>
      <c r="BD182" s="47"/>
      <c r="BE182" s="47"/>
      <c r="BF182" s="47"/>
      <c r="BG182" s="47"/>
      <c r="BH182" s="47"/>
      <c r="BI182" s="47"/>
      <c r="BJ182" s="47"/>
      <c r="BK182" s="47"/>
      <c r="BL182" s="47"/>
      <c r="BM182" s="47"/>
      <c r="BN182" s="47"/>
      <c r="BO182" s="47"/>
      <c r="BP182" s="47"/>
      <c r="BQ182" s="47"/>
      <c r="BR182" s="47"/>
      <c r="BS182" s="47"/>
      <c r="BT182" s="47"/>
      <c r="BU182" s="47"/>
      <c r="BV182" s="47"/>
      <c r="BW182" s="47"/>
      <c r="BX182" s="47"/>
      <c r="BY182" s="47"/>
      <c r="BZ182" s="47"/>
      <c r="CA182" s="47"/>
      <c r="CB182" s="47"/>
      <c r="CC182" s="47"/>
    </row>
    <row r="183" ht="21.0" customHeight="1">
      <c r="A183" s="12"/>
      <c r="B183" s="108"/>
      <c r="C183" s="108"/>
      <c r="D183" s="108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47"/>
      <c r="AW183" s="47"/>
      <c r="AX183" s="47"/>
      <c r="AY183" s="47"/>
      <c r="AZ183" s="47"/>
      <c r="BA183" s="47"/>
      <c r="BB183" s="47"/>
      <c r="BC183" s="47"/>
      <c r="BD183" s="47"/>
      <c r="BE183" s="47"/>
      <c r="BF183" s="47"/>
      <c r="BG183" s="47"/>
      <c r="BH183" s="47"/>
      <c r="BI183" s="47"/>
      <c r="BJ183" s="47"/>
      <c r="BK183" s="47"/>
      <c r="BL183" s="47"/>
      <c r="BM183" s="47"/>
      <c r="BN183" s="47"/>
      <c r="BO183" s="47"/>
      <c r="BP183" s="47"/>
      <c r="BQ183" s="47"/>
      <c r="BR183" s="47"/>
      <c r="BS183" s="47"/>
      <c r="BT183" s="47"/>
      <c r="BU183" s="47"/>
      <c r="BV183" s="47"/>
      <c r="BW183" s="47"/>
      <c r="BX183" s="47"/>
      <c r="BY183" s="47"/>
      <c r="BZ183" s="47"/>
      <c r="CA183" s="47"/>
      <c r="CB183" s="47"/>
      <c r="CC183" s="47"/>
    </row>
    <row r="184" ht="21.0" customHeight="1">
      <c r="A184" s="12"/>
      <c r="B184" s="108"/>
      <c r="C184" s="108"/>
      <c r="D184" s="108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47"/>
      <c r="AW184" s="47"/>
      <c r="AX184" s="47"/>
      <c r="AY184" s="47"/>
      <c r="AZ184" s="47"/>
      <c r="BA184" s="47"/>
      <c r="BB184" s="47"/>
      <c r="BC184" s="47"/>
      <c r="BD184" s="47"/>
      <c r="BE184" s="47"/>
      <c r="BF184" s="47"/>
      <c r="BG184" s="47"/>
      <c r="BH184" s="47"/>
      <c r="BI184" s="47"/>
      <c r="BJ184" s="47"/>
      <c r="BK184" s="47"/>
      <c r="BL184" s="47"/>
      <c r="BM184" s="47"/>
      <c r="BN184" s="47"/>
      <c r="BO184" s="47"/>
      <c r="BP184" s="47"/>
      <c r="BQ184" s="47"/>
      <c r="BR184" s="47"/>
      <c r="BS184" s="47"/>
      <c r="BT184" s="47"/>
      <c r="BU184" s="47"/>
      <c r="BV184" s="47"/>
      <c r="BW184" s="47"/>
      <c r="BX184" s="47"/>
      <c r="BY184" s="47"/>
      <c r="BZ184" s="47"/>
      <c r="CA184" s="47"/>
      <c r="CB184" s="47"/>
      <c r="CC184" s="47"/>
    </row>
    <row r="185" ht="21.0" customHeight="1">
      <c r="A185" s="12"/>
      <c r="B185" s="108"/>
      <c r="C185" s="108"/>
      <c r="D185" s="108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47"/>
      <c r="AW185" s="47"/>
      <c r="AX185" s="47"/>
      <c r="AY185" s="47"/>
      <c r="AZ185" s="47"/>
      <c r="BA185" s="47"/>
      <c r="BB185" s="47"/>
      <c r="BC185" s="47"/>
      <c r="BD185" s="47"/>
      <c r="BE185" s="47"/>
      <c r="BF185" s="47"/>
      <c r="BG185" s="47"/>
      <c r="BH185" s="47"/>
      <c r="BI185" s="47"/>
      <c r="BJ185" s="47"/>
      <c r="BK185" s="47"/>
      <c r="BL185" s="47"/>
      <c r="BM185" s="47"/>
      <c r="BN185" s="47"/>
      <c r="BO185" s="47"/>
      <c r="BP185" s="47"/>
      <c r="BQ185" s="47"/>
      <c r="BR185" s="47"/>
      <c r="BS185" s="47"/>
      <c r="BT185" s="47"/>
      <c r="BU185" s="47"/>
      <c r="BV185" s="47"/>
      <c r="BW185" s="47"/>
      <c r="BX185" s="47"/>
      <c r="BY185" s="47"/>
      <c r="BZ185" s="47"/>
      <c r="CA185" s="47"/>
      <c r="CB185" s="47"/>
      <c r="CC185" s="47"/>
    </row>
    <row r="186" ht="21.0" customHeight="1">
      <c r="A186" s="12"/>
      <c r="B186" s="107"/>
      <c r="C186" s="107"/>
      <c r="D186" s="108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47"/>
      <c r="AW186" s="47"/>
      <c r="AX186" s="47"/>
      <c r="AY186" s="47"/>
      <c r="AZ186" s="47"/>
      <c r="BA186" s="47"/>
      <c r="BB186" s="47"/>
      <c r="BC186" s="47"/>
      <c r="BD186" s="47"/>
      <c r="BE186" s="47"/>
      <c r="BF186" s="47"/>
      <c r="BG186" s="47"/>
      <c r="BH186" s="47"/>
      <c r="BI186" s="47"/>
      <c r="BJ186" s="47"/>
      <c r="BK186" s="47"/>
      <c r="BL186" s="47"/>
      <c r="BM186" s="47"/>
      <c r="BN186" s="47"/>
      <c r="BO186" s="47"/>
      <c r="BP186" s="47"/>
      <c r="BQ186" s="47"/>
      <c r="BR186" s="47"/>
      <c r="BS186" s="47"/>
      <c r="BT186" s="47"/>
      <c r="BU186" s="47"/>
      <c r="BV186" s="47"/>
      <c r="BW186" s="47"/>
      <c r="BX186" s="47"/>
      <c r="BY186" s="47"/>
      <c r="BZ186" s="47"/>
      <c r="CA186" s="47"/>
      <c r="CB186" s="47"/>
      <c r="CC186" s="47"/>
    </row>
    <row r="187" ht="21.0" customHeight="1">
      <c r="A187" s="12"/>
      <c r="B187" s="108"/>
      <c r="C187" s="108"/>
      <c r="D187" s="108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47"/>
      <c r="AW187" s="47"/>
      <c r="AX187" s="47"/>
      <c r="AY187" s="47"/>
      <c r="AZ187" s="47"/>
      <c r="BA187" s="47"/>
      <c r="BB187" s="47"/>
      <c r="BC187" s="47"/>
      <c r="BD187" s="47"/>
      <c r="BE187" s="47"/>
      <c r="BF187" s="47"/>
      <c r="BG187" s="47"/>
      <c r="BH187" s="47"/>
      <c r="BI187" s="47"/>
      <c r="BJ187" s="47"/>
      <c r="BK187" s="47"/>
      <c r="BL187" s="47"/>
      <c r="BM187" s="47"/>
      <c r="BN187" s="47"/>
      <c r="BO187" s="47"/>
      <c r="BP187" s="47"/>
      <c r="BQ187" s="47"/>
      <c r="BR187" s="47"/>
      <c r="BS187" s="47"/>
      <c r="BT187" s="47"/>
      <c r="BU187" s="47"/>
      <c r="BV187" s="47"/>
      <c r="BW187" s="47"/>
      <c r="BX187" s="47"/>
      <c r="BY187" s="47"/>
      <c r="BZ187" s="47"/>
      <c r="CA187" s="47"/>
      <c r="CB187" s="47"/>
      <c r="CC187" s="47"/>
    </row>
    <row r="188" ht="21.0" customHeight="1">
      <c r="A188" s="12"/>
      <c r="B188" s="108"/>
      <c r="C188" s="108"/>
      <c r="D188" s="107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</row>
    <row r="189" ht="21.0" customHeight="1">
      <c r="A189" s="12"/>
      <c r="B189" s="108"/>
      <c r="C189" s="108"/>
      <c r="D189" s="108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  <c r="BU189" s="44"/>
      <c r="BV189" s="44"/>
      <c r="BW189" s="44"/>
      <c r="BX189" s="44"/>
      <c r="BY189" s="44"/>
      <c r="BZ189" s="44"/>
      <c r="CA189" s="44"/>
      <c r="CB189" s="44"/>
      <c r="CC189" s="44"/>
    </row>
    <row r="190" ht="21.0" customHeight="1">
      <c r="A190" s="12"/>
      <c r="B190" s="108"/>
      <c r="C190" s="108"/>
      <c r="D190" s="108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  <c r="BU190" s="44"/>
      <c r="BV190" s="44"/>
      <c r="BW190" s="44"/>
      <c r="BX190" s="44"/>
      <c r="BY190" s="44"/>
      <c r="BZ190" s="44"/>
      <c r="CA190" s="44"/>
      <c r="CB190" s="44"/>
      <c r="CC190" s="44"/>
    </row>
    <row r="191" ht="21.0" customHeight="1">
      <c r="A191" s="12"/>
      <c r="B191" s="108"/>
      <c r="C191" s="108"/>
      <c r="D191" s="108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  <c r="BU191" s="44"/>
      <c r="BV191" s="44"/>
      <c r="BW191" s="44"/>
      <c r="BX191" s="44"/>
      <c r="BY191" s="44"/>
      <c r="BZ191" s="44"/>
      <c r="CA191" s="44"/>
      <c r="CB191" s="44"/>
      <c r="CC191" s="44"/>
    </row>
    <row r="192" ht="21.0" customHeight="1">
      <c r="A192" s="12"/>
      <c r="B192" s="108"/>
      <c r="C192" s="108"/>
      <c r="D192" s="108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  <c r="BU192" s="44"/>
      <c r="BV192" s="44"/>
      <c r="BW192" s="44"/>
      <c r="BX192" s="44"/>
      <c r="BY192" s="44"/>
      <c r="BZ192" s="44"/>
      <c r="CA192" s="44"/>
      <c r="CB192" s="44"/>
      <c r="CC192" s="44"/>
    </row>
    <row r="193" ht="21.0" customHeight="1">
      <c r="A193" s="12"/>
      <c r="B193" s="108"/>
      <c r="C193" s="108"/>
      <c r="D193" s="108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  <c r="BU193" s="44"/>
      <c r="BV193" s="44"/>
      <c r="BW193" s="44"/>
      <c r="BX193" s="44"/>
      <c r="BY193" s="44"/>
      <c r="BZ193" s="44"/>
      <c r="CA193" s="44"/>
      <c r="CB193" s="44"/>
      <c r="CC193" s="44"/>
    </row>
    <row r="194" ht="21.0" customHeight="1">
      <c r="A194" s="12"/>
      <c r="B194" s="108"/>
      <c r="C194" s="108"/>
      <c r="D194" s="108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  <c r="BU194" s="44"/>
      <c r="BV194" s="44"/>
      <c r="BW194" s="44"/>
      <c r="BX194" s="44"/>
      <c r="BY194" s="44"/>
      <c r="BZ194" s="44"/>
      <c r="CA194" s="44"/>
      <c r="CB194" s="44"/>
      <c r="CC194" s="44"/>
    </row>
    <row r="195" ht="21.0" customHeight="1">
      <c r="A195" s="12"/>
      <c r="B195" s="108"/>
      <c r="C195" s="108"/>
      <c r="D195" s="108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  <c r="BU195" s="44"/>
      <c r="BV195" s="44"/>
      <c r="BW195" s="44"/>
      <c r="BX195" s="44"/>
      <c r="BY195" s="44"/>
      <c r="BZ195" s="44"/>
      <c r="CA195" s="44"/>
      <c r="CB195" s="44"/>
      <c r="CC195" s="44"/>
    </row>
    <row r="196" ht="21.0" customHeight="1">
      <c r="A196" s="12"/>
      <c r="B196" s="108"/>
      <c r="C196" s="108"/>
      <c r="D196" s="108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  <c r="BU196" s="44"/>
      <c r="BV196" s="44"/>
      <c r="BW196" s="44"/>
      <c r="BX196" s="44"/>
      <c r="BY196" s="44"/>
      <c r="BZ196" s="44"/>
      <c r="CA196" s="44"/>
      <c r="CB196" s="44"/>
      <c r="CC196" s="44"/>
    </row>
    <row r="197" ht="21.0" customHeight="1">
      <c r="A197" s="12"/>
      <c r="B197" s="108"/>
      <c r="C197" s="108"/>
      <c r="D197" s="108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  <c r="BU197" s="44"/>
      <c r="BV197" s="44"/>
      <c r="BW197" s="44"/>
      <c r="BX197" s="44"/>
      <c r="BY197" s="44"/>
      <c r="BZ197" s="44"/>
      <c r="CA197" s="44"/>
      <c r="CB197" s="44"/>
      <c r="CC197" s="44"/>
    </row>
    <row r="198" ht="21.0" customHeight="1">
      <c r="A198" s="12"/>
      <c r="B198" s="108"/>
      <c r="C198" s="108"/>
      <c r="D198" s="108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  <c r="BU198" s="44"/>
      <c r="BV198" s="44"/>
      <c r="BW198" s="44"/>
      <c r="BX198" s="44"/>
      <c r="BY198" s="44"/>
      <c r="BZ198" s="44"/>
      <c r="CA198" s="44"/>
      <c r="CB198" s="44"/>
      <c r="CC198" s="44"/>
    </row>
    <row r="199" ht="21.0" customHeight="1">
      <c r="A199" s="12"/>
      <c r="B199" s="107"/>
      <c r="C199" s="107"/>
      <c r="D199" s="108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  <c r="BU199" s="44"/>
      <c r="BV199" s="44"/>
      <c r="BW199" s="44"/>
      <c r="BX199" s="44"/>
      <c r="BY199" s="44"/>
      <c r="BZ199" s="44"/>
      <c r="CA199" s="44"/>
      <c r="CB199" s="44"/>
      <c r="CC199" s="44"/>
    </row>
    <row r="200" ht="21.0" customHeight="1">
      <c r="A200" s="12"/>
      <c r="B200" s="108"/>
      <c r="C200" s="108"/>
      <c r="D200" s="108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  <c r="BU200" s="44"/>
      <c r="BV200" s="44"/>
      <c r="BW200" s="44"/>
      <c r="BX200" s="44"/>
      <c r="BY200" s="44"/>
      <c r="BZ200" s="44"/>
      <c r="CA200" s="44"/>
      <c r="CB200" s="44"/>
      <c r="CC200" s="44"/>
    </row>
    <row r="201" ht="21.0" customHeight="1">
      <c r="A201" s="12"/>
      <c r="B201" s="108"/>
      <c r="C201" s="108"/>
      <c r="D201" s="108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  <c r="BU201" s="44"/>
      <c r="BV201" s="44"/>
      <c r="BW201" s="44"/>
      <c r="BX201" s="44"/>
      <c r="BY201" s="44"/>
      <c r="BZ201" s="44"/>
      <c r="CA201" s="44"/>
      <c r="CB201" s="44"/>
      <c r="CC201" s="44"/>
    </row>
    <row r="202" ht="21.0" customHeight="1">
      <c r="A202" s="12"/>
      <c r="B202" s="107"/>
      <c r="C202" s="107"/>
      <c r="D202" s="108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  <c r="BU202" s="44"/>
      <c r="BV202" s="44"/>
      <c r="BW202" s="44"/>
      <c r="BX202" s="44"/>
      <c r="BY202" s="44"/>
      <c r="BZ202" s="44"/>
      <c r="CA202" s="44"/>
      <c r="CB202" s="44"/>
      <c r="CC202" s="44"/>
    </row>
    <row r="203" ht="21.0" customHeight="1">
      <c r="A203" s="12"/>
      <c r="B203" s="108"/>
      <c r="C203" s="108"/>
      <c r="D203" s="108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  <c r="BU203" s="44"/>
      <c r="BV203" s="44"/>
      <c r="BW203" s="44"/>
      <c r="BX203" s="44"/>
      <c r="BY203" s="44"/>
      <c r="BZ203" s="44"/>
      <c r="CA203" s="44"/>
      <c r="CB203" s="44"/>
      <c r="CC203" s="44"/>
    </row>
    <row r="204" ht="21.0" customHeight="1">
      <c r="A204" s="12"/>
      <c r="B204" s="108"/>
      <c r="C204" s="108"/>
      <c r="D204" s="108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  <c r="BU204" s="44"/>
      <c r="BV204" s="44"/>
      <c r="BW204" s="44"/>
      <c r="BX204" s="44"/>
      <c r="BY204" s="44"/>
      <c r="BZ204" s="44"/>
      <c r="CA204" s="44"/>
      <c r="CB204" s="44"/>
      <c r="CC204" s="44"/>
    </row>
    <row r="205" ht="21.0" customHeight="1">
      <c r="A205" s="12"/>
      <c r="B205" s="107"/>
      <c r="C205" s="107"/>
      <c r="D205" s="108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  <c r="BU205" s="44"/>
      <c r="BV205" s="44"/>
      <c r="BW205" s="44"/>
      <c r="BX205" s="44"/>
      <c r="BY205" s="44"/>
      <c r="BZ205" s="44"/>
      <c r="CA205" s="44"/>
      <c r="CB205" s="44"/>
      <c r="CC205" s="44"/>
    </row>
    <row r="206" ht="21.0" customHeight="1">
      <c r="A206" s="12"/>
      <c r="B206" s="108"/>
      <c r="C206" s="108"/>
      <c r="D206" s="108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  <c r="BU206" s="44"/>
      <c r="BV206" s="44"/>
      <c r="BW206" s="44"/>
      <c r="BX206" s="44"/>
      <c r="BY206" s="44"/>
      <c r="BZ206" s="44"/>
      <c r="CA206" s="44"/>
      <c r="CB206" s="44"/>
      <c r="CC206" s="44"/>
    </row>
    <row r="207" ht="21.0" customHeight="1">
      <c r="A207" s="12"/>
      <c r="B207" s="108"/>
      <c r="C207" s="108"/>
      <c r="D207" s="108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47"/>
      <c r="AW207" s="47"/>
      <c r="AX207" s="47"/>
      <c r="AY207" s="47"/>
      <c r="AZ207" s="47"/>
      <c r="BA207" s="47"/>
      <c r="BB207" s="47"/>
      <c r="BC207" s="47"/>
      <c r="BD207" s="47"/>
      <c r="BE207" s="47"/>
      <c r="BF207" s="47"/>
      <c r="BG207" s="47"/>
      <c r="BH207" s="47"/>
      <c r="BI207" s="47"/>
      <c r="BJ207" s="47"/>
      <c r="BK207" s="47"/>
      <c r="BL207" s="47"/>
      <c r="BM207" s="47"/>
      <c r="BN207" s="47"/>
      <c r="BO207" s="47"/>
      <c r="BP207" s="47"/>
      <c r="BQ207" s="47"/>
      <c r="BR207" s="47"/>
      <c r="BS207" s="47"/>
      <c r="BT207" s="47"/>
      <c r="BU207" s="47"/>
      <c r="BV207" s="47"/>
      <c r="BW207" s="47"/>
      <c r="BX207" s="47"/>
      <c r="BY207" s="47"/>
      <c r="BZ207" s="47"/>
      <c r="CA207" s="47"/>
      <c r="CB207" s="47"/>
      <c r="CC207" s="47"/>
    </row>
    <row r="208" ht="21.0" customHeight="1">
      <c r="A208" s="12"/>
      <c r="B208" s="108"/>
      <c r="C208" s="108"/>
      <c r="D208" s="107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</row>
    <row r="209" ht="21.0" customHeight="1">
      <c r="A209" s="12"/>
      <c r="B209" s="108"/>
      <c r="C209" s="108"/>
      <c r="D209" s="108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  <c r="BU209" s="44"/>
      <c r="BV209" s="44"/>
      <c r="BW209" s="44"/>
      <c r="BX209" s="44"/>
      <c r="BY209" s="44"/>
      <c r="BZ209" s="44"/>
      <c r="CA209" s="44"/>
      <c r="CB209" s="44"/>
      <c r="CC209" s="44"/>
    </row>
    <row r="210" ht="21.0" customHeight="1">
      <c r="A210" s="12"/>
      <c r="B210" s="108"/>
      <c r="C210" s="108"/>
      <c r="D210" s="108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  <c r="BU210" s="44"/>
      <c r="BV210" s="44"/>
      <c r="BW210" s="44"/>
      <c r="BX210" s="44"/>
      <c r="BY210" s="44"/>
      <c r="BZ210" s="44"/>
      <c r="CA210" s="44"/>
      <c r="CB210" s="44"/>
      <c r="CC210" s="44"/>
    </row>
    <row r="211" ht="21.0" customHeight="1">
      <c r="A211" s="12"/>
      <c r="B211" s="108"/>
      <c r="C211" s="108"/>
      <c r="D211" s="108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  <c r="BU211" s="44"/>
      <c r="BV211" s="44"/>
      <c r="BW211" s="44"/>
      <c r="BX211" s="44"/>
      <c r="BY211" s="44"/>
      <c r="BZ211" s="44"/>
      <c r="CA211" s="44"/>
      <c r="CB211" s="44"/>
      <c r="CC211" s="44"/>
    </row>
    <row r="212" ht="21.0" customHeight="1">
      <c r="A212" s="12"/>
      <c r="B212" s="108"/>
      <c r="C212" s="108"/>
      <c r="D212" s="108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  <c r="BU212" s="44"/>
      <c r="BV212" s="44"/>
      <c r="BW212" s="44"/>
      <c r="BX212" s="44"/>
      <c r="BY212" s="44"/>
      <c r="BZ212" s="44"/>
      <c r="CA212" s="44"/>
      <c r="CB212" s="44"/>
      <c r="CC212" s="44"/>
    </row>
    <row r="213" ht="21.0" customHeight="1">
      <c r="A213" s="12"/>
      <c r="B213" s="107"/>
      <c r="C213" s="107"/>
      <c r="D213" s="108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  <c r="BU213" s="44"/>
      <c r="BV213" s="44"/>
      <c r="BW213" s="44"/>
      <c r="BX213" s="44"/>
      <c r="BY213" s="44"/>
      <c r="BZ213" s="44"/>
      <c r="CA213" s="44"/>
      <c r="CB213" s="44"/>
      <c r="CC213" s="44"/>
    </row>
    <row r="214" ht="21.0" customHeight="1">
      <c r="A214" s="12"/>
      <c r="B214" s="108"/>
      <c r="C214" s="108"/>
      <c r="D214" s="108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  <c r="BU214" s="44"/>
      <c r="BV214" s="44"/>
      <c r="BW214" s="44"/>
      <c r="BX214" s="44"/>
      <c r="BY214" s="44"/>
      <c r="BZ214" s="44"/>
      <c r="CA214" s="44"/>
      <c r="CB214" s="44"/>
      <c r="CC214" s="44"/>
    </row>
    <row r="215" ht="21.0" customHeight="1">
      <c r="A215" s="12"/>
      <c r="B215" s="108"/>
      <c r="C215" s="108"/>
      <c r="D215" s="108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  <c r="BU215" s="44"/>
      <c r="BV215" s="44"/>
      <c r="BW215" s="44"/>
      <c r="BX215" s="44"/>
      <c r="BY215" s="44"/>
      <c r="BZ215" s="44"/>
      <c r="CA215" s="44"/>
      <c r="CB215" s="44"/>
      <c r="CC215" s="44"/>
    </row>
    <row r="216" ht="21.0" customHeight="1">
      <c r="A216" s="12"/>
      <c r="B216" s="108"/>
      <c r="C216" s="108"/>
      <c r="D216" s="108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  <c r="BU216" s="44"/>
      <c r="BV216" s="44"/>
      <c r="BW216" s="44"/>
      <c r="BX216" s="44"/>
      <c r="BY216" s="44"/>
      <c r="BZ216" s="44"/>
      <c r="CA216" s="44"/>
      <c r="CB216" s="44"/>
      <c r="CC216" s="44"/>
    </row>
    <row r="217" ht="21.0" customHeight="1">
      <c r="A217" s="12"/>
      <c r="B217" s="108"/>
      <c r="C217" s="108"/>
      <c r="D217" s="108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  <c r="BU217" s="44"/>
      <c r="BV217" s="44"/>
      <c r="BW217" s="44"/>
      <c r="BX217" s="44"/>
      <c r="BY217" s="44"/>
      <c r="BZ217" s="44"/>
      <c r="CA217" s="44"/>
      <c r="CB217" s="44"/>
      <c r="CC217" s="44"/>
    </row>
    <row r="218" ht="21.0" customHeight="1">
      <c r="A218" s="12"/>
      <c r="B218" s="107"/>
      <c r="C218" s="107"/>
      <c r="D218" s="108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  <c r="BU218" s="44"/>
      <c r="BV218" s="44"/>
      <c r="BW218" s="44"/>
      <c r="BX218" s="44"/>
      <c r="BY218" s="44"/>
      <c r="BZ218" s="44"/>
      <c r="CA218" s="44"/>
      <c r="CB218" s="44"/>
      <c r="CC218" s="44"/>
    </row>
    <row r="219" ht="21.0" customHeight="1">
      <c r="A219" s="12"/>
      <c r="B219" s="108"/>
      <c r="C219" s="108"/>
      <c r="D219" s="108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  <c r="BU219" s="44"/>
      <c r="BV219" s="44"/>
      <c r="BW219" s="44"/>
      <c r="BX219" s="44"/>
      <c r="BY219" s="44"/>
      <c r="BZ219" s="44"/>
      <c r="CA219" s="44"/>
      <c r="CB219" s="44"/>
      <c r="CC219" s="44"/>
    </row>
    <row r="220" ht="21.0" customHeight="1">
      <c r="A220" s="12"/>
      <c r="B220" s="108"/>
      <c r="C220" s="108"/>
      <c r="D220" s="108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  <c r="BU220" s="44"/>
      <c r="BV220" s="44"/>
      <c r="BW220" s="44"/>
      <c r="BX220" s="44"/>
      <c r="BY220" s="44"/>
      <c r="BZ220" s="44"/>
      <c r="CA220" s="44"/>
      <c r="CB220" s="44"/>
      <c r="CC220" s="44"/>
    </row>
    <row r="221" ht="21.0" customHeight="1">
      <c r="A221" s="12"/>
      <c r="B221" s="107"/>
      <c r="C221" s="107"/>
      <c r="D221" s="108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  <c r="BU221" s="44"/>
      <c r="BV221" s="44"/>
      <c r="BW221" s="44"/>
      <c r="BX221" s="44"/>
      <c r="BY221" s="44"/>
      <c r="BZ221" s="44"/>
      <c r="CA221" s="44"/>
      <c r="CB221" s="44"/>
      <c r="CC221" s="44"/>
    </row>
    <row r="222" ht="21.0" customHeight="1">
      <c r="A222" s="12"/>
      <c r="B222" s="108"/>
      <c r="C222" s="108"/>
      <c r="D222" s="108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47"/>
      <c r="AW222" s="47"/>
      <c r="AX222" s="47"/>
      <c r="AY222" s="47"/>
      <c r="AZ222" s="47"/>
      <c r="BA222" s="47"/>
      <c r="BB222" s="47"/>
      <c r="BC222" s="47"/>
      <c r="BD222" s="47"/>
      <c r="BE222" s="47"/>
      <c r="BF222" s="47"/>
      <c r="BG222" s="47"/>
      <c r="BH222" s="47"/>
      <c r="BI222" s="47"/>
      <c r="BJ222" s="47"/>
      <c r="BK222" s="47"/>
      <c r="BL222" s="47"/>
      <c r="BM222" s="47"/>
      <c r="BN222" s="47"/>
      <c r="BO222" s="47"/>
      <c r="BP222" s="47"/>
      <c r="BQ222" s="47"/>
      <c r="BR222" s="47"/>
      <c r="BS222" s="47"/>
      <c r="BT222" s="47"/>
      <c r="BU222" s="47"/>
      <c r="BV222" s="47"/>
      <c r="BW222" s="47"/>
      <c r="BX222" s="47"/>
      <c r="BY222" s="47"/>
      <c r="BZ222" s="47"/>
      <c r="CA222" s="47"/>
      <c r="CB222" s="47"/>
      <c r="CC222" s="47"/>
    </row>
    <row r="223" ht="21.0" customHeight="1">
      <c r="A223" s="12"/>
      <c r="B223" s="108"/>
      <c r="C223" s="108"/>
      <c r="D223" s="107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</row>
    <row r="224" ht="21.0" customHeight="1">
      <c r="A224" s="12"/>
      <c r="B224" s="107"/>
      <c r="C224" s="107"/>
      <c r="D224" s="108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  <c r="BU224" s="44"/>
      <c r="BV224" s="44"/>
      <c r="BW224" s="44"/>
      <c r="BX224" s="44"/>
      <c r="BY224" s="44"/>
      <c r="BZ224" s="44"/>
      <c r="CA224" s="44"/>
      <c r="CB224" s="44"/>
      <c r="CC224" s="44"/>
    </row>
    <row r="225" ht="21.0" customHeight="1">
      <c r="A225" s="12"/>
      <c r="B225" s="108"/>
      <c r="C225" s="108"/>
      <c r="D225" s="108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  <c r="BX225" s="44"/>
      <c r="BY225" s="44"/>
      <c r="BZ225" s="44"/>
      <c r="CA225" s="44"/>
      <c r="CB225" s="44"/>
      <c r="CC225" s="44"/>
    </row>
    <row r="226" ht="21.0" customHeight="1">
      <c r="A226" s="12"/>
      <c r="B226" s="108"/>
      <c r="C226" s="108"/>
      <c r="D226" s="108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  <c r="BX226" s="44"/>
      <c r="BY226" s="44"/>
      <c r="BZ226" s="44"/>
      <c r="CA226" s="44"/>
      <c r="CB226" s="44"/>
      <c r="CC226" s="44"/>
    </row>
    <row r="227" ht="21.0" customHeight="1">
      <c r="A227" s="12"/>
      <c r="B227" s="108"/>
      <c r="C227" s="108"/>
      <c r="D227" s="108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  <c r="BX227" s="44"/>
      <c r="BY227" s="44"/>
      <c r="BZ227" s="44"/>
      <c r="CA227" s="44"/>
      <c r="CB227" s="44"/>
      <c r="CC227" s="44"/>
    </row>
    <row r="228" ht="21.0" customHeight="1">
      <c r="A228" s="12"/>
      <c r="B228" s="108"/>
      <c r="C228" s="108"/>
      <c r="D228" s="108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  <c r="BX228" s="44"/>
      <c r="BY228" s="44"/>
      <c r="BZ228" s="44"/>
      <c r="CA228" s="44"/>
      <c r="CB228" s="44"/>
      <c r="CC228" s="44"/>
    </row>
    <row r="229" ht="21.0" customHeight="1">
      <c r="A229" s="12"/>
      <c r="B229" s="108"/>
      <c r="C229" s="108"/>
      <c r="D229" s="108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  <c r="BX229" s="44"/>
      <c r="BY229" s="44"/>
      <c r="BZ229" s="44"/>
      <c r="CA229" s="44"/>
      <c r="CB229" s="44"/>
      <c r="CC229" s="44"/>
    </row>
    <row r="230" ht="21.0" customHeight="1">
      <c r="A230" s="12"/>
      <c r="B230" s="108"/>
      <c r="C230" s="108"/>
      <c r="D230" s="108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  <c r="BU230" s="44"/>
      <c r="BV230" s="44"/>
      <c r="BW230" s="44"/>
      <c r="BX230" s="44"/>
      <c r="BY230" s="44"/>
      <c r="BZ230" s="44"/>
      <c r="CA230" s="44"/>
      <c r="CB230" s="44"/>
      <c r="CC230" s="44"/>
    </row>
    <row r="231" ht="21.0" customHeight="1">
      <c r="A231" s="12"/>
      <c r="B231" s="108"/>
      <c r="C231" s="108"/>
      <c r="D231" s="108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  <c r="BU231" s="44"/>
      <c r="BV231" s="44"/>
      <c r="BW231" s="44"/>
      <c r="BX231" s="44"/>
      <c r="BY231" s="44"/>
      <c r="BZ231" s="44"/>
      <c r="CA231" s="44"/>
      <c r="CB231" s="44"/>
      <c r="CC231" s="44"/>
    </row>
    <row r="232" ht="21.0" customHeight="1">
      <c r="A232" s="12"/>
      <c r="B232" s="108"/>
      <c r="C232" s="108"/>
      <c r="D232" s="108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  <c r="BU232" s="44"/>
      <c r="BV232" s="44"/>
      <c r="BW232" s="44"/>
      <c r="BX232" s="44"/>
      <c r="BY232" s="44"/>
      <c r="BZ232" s="44"/>
      <c r="CA232" s="44"/>
      <c r="CB232" s="44"/>
      <c r="CC232" s="44"/>
    </row>
    <row r="233" ht="21.0" customHeight="1">
      <c r="A233" s="12"/>
      <c r="B233" s="108"/>
      <c r="C233" s="108"/>
      <c r="D233" s="108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  <c r="BU233" s="44"/>
      <c r="BV233" s="44"/>
      <c r="BW233" s="44"/>
      <c r="BX233" s="44"/>
      <c r="BY233" s="44"/>
      <c r="BZ233" s="44"/>
      <c r="CA233" s="44"/>
      <c r="CB233" s="44"/>
      <c r="CC233" s="44"/>
    </row>
    <row r="234" ht="21.0" customHeight="1">
      <c r="A234" s="12"/>
      <c r="B234" s="108"/>
      <c r="C234" s="108"/>
      <c r="D234" s="108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  <c r="BU234" s="44"/>
      <c r="BV234" s="44"/>
      <c r="BW234" s="44"/>
      <c r="BX234" s="44"/>
      <c r="BY234" s="44"/>
      <c r="BZ234" s="44"/>
      <c r="CA234" s="44"/>
      <c r="CB234" s="44"/>
      <c r="CC234" s="44"/>
    </row>
    <row r="235" ht="21.0" customHeight="1">
      <c r="A235" s="12"/>
      <c r="B235" s="108"/>
      <c r="C235" s="108"/>
      <c r="D235" s="108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  <c r="BU235" s="44"/>
      <c r="BV235" s="44"/>
      <c r="BW235" s="44"/>
      <c r="BX235" s="44"/>
      <c r="BY235" s="44"/>
      <c r="BZ235" s="44"/>
      <c r="CA235" s="44"/>
      <c r="CB235" s="44"/>
      <c r="CC235" s="44"/>
    </row>
    <row r="236" ht="21.0" customHeight="1">
      <c r="A236" s="12"/>
      <c r="B236" s="108"/>
      <c r="C236" s="108"/>
      <c r="D236" s="108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  <c r="BU236" s="44"/>
      <c r="BV236" s="44"/>
      <c r="BW236" s="44"/>
      <c r="BX236" s="44"/>
      <c r="BY236" s="44"/>
      <c r="BZ236" s="44"/>
      <c r="CA236" s="44"/>
      <c r="CB236" s="44"/>
      <c r="CC236" s="44"/>
    </row>
    <row r="237" ht="21.0" customHeight="1">
      <c r="A237" s="12"/>
      <c r="B237" s="108"/>
      <c r="C237" s="108"/>
      <c r="D237" s="108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  <c r="BU237" s="44"/>
      <c r="BV237" s="44"/>
      <c r="BW237" s="44"/>
      <c r="BX237" s="44"/>
      <c r="BY237" s="44"/>
      <c r="BZ237" s="44"/>
      <c r="CA237" s="44"/>
      <c r="CB237" s="44"/>
      <c r="CC237" s="44"/>
    </row>
    <row r="238" ht="21.0" customHeight="1">
      <c r="A238" s="12"/>
      <c r="B238" s="108"/>
      <c r="C238" s="108"/>
      <c r="D238" s="108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  <c r="BU238" s="44"/>
      <c r="BV238" s="44"/>
      <c r="BW238" s="44"/>
      <c r="BX238" s="44"/>
      <c r="BY238" s="44"/>
      <c r="BZ238" s="44"/>
      <c r="CA238" s="44"/>
      <c r="CB238" s="44"/>
      <c r="CC238" s="44"/>
    </row>
    <row r="239" ht="21.0" customHeight="1">
      <c r="A239" s="12"/>
      <c r="B239" s="108"/>
      <c r="C239" s="108"/>
      <c r="D239" s="108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  <c r="BU239" s="44"/>
      <c r="BV239" s="44"/>
      <c r="BW239" s="44"/>
      <c r="BX239" s="44"/>
      <c r="BY239" s="44"/>
      <c r="BZ239" s="44"/>
      <c r="CA239" s="44"/>
      <c r="CB239" s="44"/>
      <c r="CC239" s="44"/>
    </row>
    <row r="240" ht="21.0" customHeight="1">
      <c r="A240" s="12"/>
      <c r="B240" s="108"/>
      <c r="C240" s="108"/>
      <c r="D240" s="108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  <c r="BU240" s="44"/>
      <c r="BV240" s="44"/>
      <c r="BW240" s="44"/>
      <c r="BX240" s="44"/>
      <c r="BY240" s="44"/>
      <c r="BZ240" s="44"/>
      <c r="CA240" s="44"/>
      <c r="CB240" s="44"/>
      <c r="CC240" s="44"/>
    </row>
    <row r="241" ht="21.0" customHeight="1">
      <c r="A241" s="12"/>
      <c r="B241" s="108"/>
      <c r="C241" s="108"/>
      <c r="D241" s="108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  <c r="BU241" s="44"/>
      <c r="BV241" s="44"/>
      <c r="BW241" s="44"/>
      <c r="BX241" s="44"/>
      <c r="BY241" s="44"/>
      <c r="BZ241" s="44"/>
      <c r="CA241" s="44"/>
      <c r="CB241" s="44"/>
      <c r="CC241" s="44"/>
    </row>
    <row r="242" ht="21.0" customHeight="1">
      <c r="A242" s="12"/>
      <c r="B242" s="108"/>
      <c r="C242" s="108"/>
      <c r="D242" s="108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  <c r="BU242" s="44"/>
      <c r="BV242" s="44"/>
      <c r="BW242" s="44"/>
      <c r="BX242" s="44"/>
      <c r="BY242" s="44"/>
      <c r="BZ242" s="44"/>
      <c r="CA242" s="44"/>
      <c r="CB242" s="44"/>
      <c r="CC242" s="44"/>
    </row>
    <row r="243" ht="21.0" customHeight="1">
      <c r="A243" s="12"/>
      <c r="B243" s="108"/>
      <c r="C243" s="108"/>
      <c r="D243" s="108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  <c r="BU243" s="44"/>
      <c r="BV243" s="44"/>
      <c r="BW243" s="44"/>
      <c r="BX243" s="44"/>
      <c r="BY243" s="44"/>
      <c r="BZ243" s="44"/>
      <c r="CA243" s="44"/>
      <c r="CB243" s="44"/>
      <c r="CC243" s="44"/>
    </row>
    <row r="244" ht="21.0" customHeight="1">
      <c r="A244" s="12"/>
      <c r="B244" s="108"/>
      <c r="C244" s="108"/>
      <c r="D244" s="108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  <c r="BU244" s="44"/>
      <c r="BV244" s="44"/>
      <c r="BW244" s="44"/>
      <c r="BX244" s="44"/>
      <c r="BY244" s="44"/>
      <c r="BZ244" s="44"/>
      <c r="CA244" s="44"/>
      <c r="CB244" s="44"/>
      <c r="CC244" s="44"/>
    </row>
    <row r="245" ht="21.0" customHeight="1">
      <c r="A245" s="12"/>
      <c r="B245" s="108"/>
      <c r="C245" s="108"/>
      <c r="D245" s="108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  <c r="BU245" s="44"/>
      <c r="BV245" s="44"/>
      <c r="BW245" s="44"/>
      <c r="BX245" s="44"/>
      <c r="BY245" s="44"/>
      <c r="BZ245" s="44"/>
      <c r="CA245" s="44"/>
      <c r="CB245" s="44"/>
      <c r="CC245" s="44"/>
    </row>
    <row r="246" ht="21.0" customHeight="1">
      <c r="A246" s="12"/>
      <c r="B246" s="108"/>
      <c r="C246" s="108"/>
      <c r="D246" s="108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47"/>
      <c r="AW246" s="47"/>
      <c r="AX246" s="47"/>
      <c r="AY246" s="47"/>
      <c r="AZ246" s="47"/>
      <c r="BA246" s="47"/>
      <c r="BB246" s="47"/>
      <c r="BC246" s="47"/>
      <c r="BD246" s="47"/>
      <c r="BE246" s="47"/>
      <c r="BF246" s="47"/>
      <c r="BG246" s="47"/>
      <c r="BH246" s="47"/>
      <c r="BI246" s="47"/>
      <c r="BJ246" s="47"/>
      <c r="BK246" s="47"/>
      <c r="BL246" s="47"/>
      <c r="BM246" s="47"/>
      <c r="BN246" s="47"/>
      <c r="BO246" s="47"/>
      <c r="BP246" s="47"/>
      <c r="BQ246" s="47"/>
      <c r="BR246" s="47"/>
      <c r="BS246" s="47"/>
      <c r="BT246" s="47"/>
      <c r="BU246" s="47"/>
      <c r="BV246" s="47"/>
      <c r="BW246" s="47"/>
      <c r="BX246" s="47"/>
      <c r="BY246" s="47"/>
      <c r="BZ246" s="47"/>
      <c r="CA246" s="47"/>
      <c r="CB246" s="47"/>
      <c r="CC246" s="47"/>
    </row>
    <row r="247" ht="21.0" customHeight="1">
      <c r="A247" s="12"/>
      <c r="B247" s="108"/>
      <c r="C247" s="108"/>
      <c r="D247" s="108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47"/>
      <c r="AW247" s="47"/>
      <c r="AX247" s="47"/>
      <c r="AY247" s="47"/>
      <c r="AZ247" s="47"/>
      <c r="BA247" s="47"/>
      <c r="BB247" s="47"/>
      <c r="BC247" s="47"/>
      <c r="BD247" s="47"/>
      <c r="BE247" s="47"/>
      <c r="BF247" s="47"/>
      <c r="BG247" s="47"/>
      <c r="BH247" s="47"/>
      <c r="BI247" s="47"/>
      <c r="BJ247" s="47"/>
      <c r="BK247" s="47"/>
      <c r="BL247" s="47"/>
      <c r="BM247" s="47"/>
      <c r="BN247" s="47"/>
      <c r="BO247" s="47"/>
      <c r="BP247" s="47"/>
      <c r="BQ247" s="47"/>
      <c r="BR247" s="47"/>
      <c r="BS247" s="47"/>
      <c r="BT247" s="47"/>
      <c r="BU247" s="47"/>
      <c r="BV247" s="47"/>
      <c r="BW247" s="47"/>
      <c r="BX247" s="47"/>
      <c r="BY247" s="47"/>
      <c r="BZ247" s="47"/>
      <c r="CA247" s="47"/>
      <c r="CB247" s="47"/>
      <c r="CC247" s="47"/>
    </row>
    <row r="248" ht="21.0" customHeight="1">
      <c r="A248" s="12"/>
      <c r="B248" s="107"/>
      <c r="C248" s="107"/>
      <c r="D248" s="108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47"/>
      <c r="AW248" s="47"/>
      <c r="AX248" s="47"/>
      <c r="AY248" s="47"/>
      <c r="AZ248" s="47"/>
      <c r="BA248" s="47"/>
      <c r="BB248" s="47"/>
      <c r="BC248" s="47"/>
      <c r="BD248" s="47"/>
      <c r="BE248" s="47"/>
      <c r="BF248" s="47"/>
      <c r="BG248" s="47"/>
      <c r="BH248" s="47"/>
      <c r="BI248" s="47"/>
      <c r="BJ248" s="47"/>
      <c r="BK248" s="47"/>
      <c r="BL248" s="47"/>
      <c r="BM248" s="47"/>
      <c r="BN248" s="47"/>
      <c r="BO248" s="47"/>
      <c r="BP248" s="47"/>
      <c r="BQ248" s="47"/>
      <c r="BR248" s="47"/>
      <c r="BS248" s="47"/>
      <c r="BT248" s="47"/>
      <c r="BU248" s="47"/>
      <c r="BV248" s="47"/>
      <c r="BW248" s="47"/>
      <c r="BX248" s="47"/>
      <c r="BY248" s="47"/>
      <c r="BZ248" s="47"/>
      <c r="CA248" s="47"/>
      <c r="CB248" s="47"/>
      <c r="CC248" s="47"/>
    </row>
    <row r="249" ht="21.0" customHeight="1">
      <c r="A249" s="12"/>
      <c r="B249" s="108"/>
      <c r="C249" s="108"/>
      <c r="D249" s="108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47"/>
      <c r="AW249" s="47"/>
      <c r="AX249" s="47"/>
      <c r="AY249" s="47"/>
      <c r="AZ249" s="47"/>
      <c r="BA249" s="47"/>
      <c r="BB249" s="47"/>
      <c r="BC249" s="47"/>
      <c r="BD249" s="47"/>
      <c r="BE249" s="47"/>
      <c r="BF249" s="47"/>
      <c r="BG249" s="47"/>
      <c r="BH249" s="47"/>
      <c r="BI249" s="47"/>
      <c r="BJ249" s="47"/>
      <c r="BK249" s="47"/>
      <c r="BL249" s="47"/>
      <c r="BM249" s="47"/>
      <c r="BN249" s="47"/>
      <c r="BO249" s="47"/>
      <c r="BP249" s="47"/>
      <c r="BQ249" s="47"/>
      <c r="BR249" s="47"/>
      <c r="BS249" s="47"/>
      <c r="BT249" s="47"/>
      <c r="BU249" s="47"/>
      <c r="BV249" s="47"/>
      <c r="BW249" s="47"/>
      <c r="BX249" s="47"/>
      <c r="BY249" s="47"/>
      <c r="BZ249" s="47"/>
      <c r="CA249" s="47"/>
      <c r="CB249" s="47"/>
      <c r="CC249" s="47"/>
    </row>
    <row r="250" ht="21.0" customHeight="1">
      <c r="A250" s="12"/>
      <c r="B250" s="108"/>
      <c r="C250" s="108"/>
      <c r="D250" s="108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47"/>
      <c r="AW250" s="47"/>
      <c r="AX250" s="47"/>
      <c r="AY250" s="47"/>
      <c r="AZ250" s="47"/>
      <c r="BA250" s="47"/>
      <c r="BB250" s="47"/>
      <c r="BC250" s="47"/>
      <c r="BD250" s="47"/>
      <c r="BE250" s="47"/>
      <c r="BF250" s="47"/>
      <c r="BG250" s="47"/>
      <c r="BH250" s="47"/>
      <c r="BI250" s="47"/>
      <c r="BJ250" s="47"/>
      <c r="BK250" s="47"/>
      <c r="BL250" s="47"/>
      <c r="BM250" s="47"/>
      <c r="BN250" s="47"/>
      <c r="BO250" s="47"/>
      <c r="BP250" s="47"/>
      <c r="BQ250" s="47"/>
      <c r="BR250" s="47"/>
      <c r="BS250" s="47"/>
      <c r="BT250" s="47"/>
      <c r="BU250" s="47"/>
      <c r="BV250" s="47"/>
      <c r="BW250" s="47"/>
      <c r="BX250" s="47"/>
      <c r="BY250" s="47"/>
      <c r="BZ250" s="47"/>
      <c r="CA250" s="47"/>
      <c r="CB250" s="47"/>
      <c r="CC250" s="47"/>
    </row>
    <row r="251" ht="21.0" customHeight="1">
      <c r="A251" s="12"/>
      <c r="B251" s="108"/>
      <c r="C251" s="108"/>
      <c r="D251" s="108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47"/>
      <c r="AW251" s="47"/>
      <c r="AX251" s="47"/>
      <c r="AY251" s="47"/>
      <c r="AZ251" s="47"/>
      <c r="BA251" s="47"/>
      <c r="BB251" s="47"/>
      <c r="BC251" s="47"/>
      <c r="BD251" s="47"/>
      <c r="BE251" s="47"/>
      <c r="BF251" s="47"/>
      <c r="BG251" s="47"/>
      <c r="BH251" s="47"/>
      <c r="BI251" s="47"/>
      <c r="BJ251" s="47"/>
      <c r="BK251" s="47"/>
      <c r="BL251" s="47"/>
      <c r="BM251" s="47"/>
      <c r="BN251" s="47"/>
      <c r="BO251" s="47"/>
      <c r="BP251" s="47"/>
      <c r="BQ251" s="47"/>
      <c r="BR251" s="47"/>
      <c r="BS251" s="47"/>
      <c r="BT251" s="47"/>
      <c r="BU251" s="47"/>
      <c r="BV251" s="47"/>
      <c r="BW251" s="47"/>
      <c r="BX251" s="47"/>
      <c r="BY251" s="47"/>
      <c r="BZ251" s="47"/>
      <c r="CA251" s="47"/>
      <c r="CB251" s="47"/>
      <c r="CC251" s="47"/>
    </row>
    <row r="252" ht="21.0" customHeight="1">
      <c r="A252" s="12"/>
      <c r="B252" s="108"/>
      <c r="C252" s="108"/>
      <c r="D252" s="108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47"/>
      <c r="AW252" s="47"/>
      <c r="AX252" s="47"/>
      <c r="AY252" s="47"/>
      <c r="AZ252" s="47"/>
      <c r="BA252" s="47"/>
      <c r="BB252" s="47"/>
      <c r="BC252" s="47"/>
      <c r="BD252" s="47"/>
      <c r="BE252" s="47"/>
      <c r="BF252" s="47"/>
      <c r="BG252" s="47"/>
      <c r="BH252" s="47"/>
      <c r="BI252" s="47"/>
      <c r="BJ252" s="47"/>
      <c r="BK252" s="47"/>
      <c r="BL252" s="47"/>
      <c r="BM252" s="47"/>
      <c r="BN252" s="47"/>
      <c r="BO252" s="47"/>
      <c r="BP252" s="47"/>
      <c r="BQ252" s="47"/>
      <c r="BR252" s="47"/>
      <c r="BS252" s="47"/>
      <c r="BT252" s="47"/>
      <c r="BU252" s="47"/>
      <c r="BV252" s="47"/>
      <c r="BW252" s="47"/>
      <c r="BX252" s="47"/>
      <c r="BY252" s="47"/>
      <c r="BZ252" s="47"/>
      <c r="CA252" s="47"/>
      <c r="CB252" s="47"/>
      <c r="CC252" s="47"/>
    </row>
    <row r="253" ht="21.0" customHeight="1">
      <c r="A253" s="12"/>
      <c r="B253" s="108"/>
      <c r="C253" s="108"/>
      <c r="D253" s="108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47"/>
      <c r="AW253" s="47"/>
      <c r="AX253" s="47"/>
      <c r="AY253" s="47"/>
      <c r="AZ253" s="47"/>
      <c r="BA253" s="47"/>
      <c r="BB253" s="47"/>
      <c r="BC253" s="47"/>
      <c r="BD253" s="47"/>
      <c r="BE253" s="47"/>
      <c r="BF253" s="47"/>
      <c r="BG253" s="47"/>
      <c r="BH253" s="47"/>
      <c r="BI253" s="47"/>
      <c r="BJ253" s="47"/>
      <c r="BK253" s="47"/>
      <c r="BL253" s="47"/>
      <c r="BM253" s="47"/>
      <c r="BN253" s="47"/>
      <c r="BO253" s="47"/>
      <c r="BP253" s="47"/>
      <c r="BQ253" s="47"/>
      <c r="BR253" s="47"/>
      <c r="BS253" s="47"/>
      <c r="BT253" s="47"/>
      <c r="BU253" s="47"/>
      <c r="BV253" s="47"/>
      <c r="BW253" s="47"/>
      <c r="BX253" s="47"/>
      <c r="BY253" s="47"/>
      <c r="BZ253" s="47"/>
      <c r="CA253" s="47"/>
      <c r="CB253" s="47"/>
      <c r="CC253" s="47"/>
    </row>
    <row r="254" ht="21.0" customHeight="1">
      <c r="A254" s="12"/>
      <c r="B254" s="108"/>
      <c r="C254" s="108"/>
      <c r="D254" s="108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47"/>
      <c r="AW254" s="47"/>
      <c r="AX254" s="47"/>
      <c r="AY254" s="47"/>
      <c r="AZ254" s="47"/>
      <c r="BA254" s="47"/>
      <c r="BB254" s="47"/>
      <c r="BC254" s="47"/>
      <c r="BD254" s="47"/>
      <c r="BE254" s="47"/>
      <c r="BF254" s="47"/>
      <c r="BG254" s="47"/>
      <c r="BH254" s="47"/>
      <c r="BI254" s="47"/>
      <c r="BJ254" s="47"/>
      <c r="BK254" s="47"/>
      <c r="BL254" s="47"/>
      <c r="BM254" s="47"/>
      <c r="BN254" s="47"/>
      <c r="BO254" s="47"/>
      <c r="BP254" s="47"/>
      <c r="BQ254" s="47"/>
      <c r="BR254" s="47"/>
      <c r="BS254" s="47"/>
      <c r="BT254" s="47"/>
      <c r="BU254" s="47"/>
      <c r="BV254" s="47"/>
      <c r="BW254" s="47"/>
      <c r="BX254" s="47"/>
      <c r="BY254" s="47"/>
      <c r="BZ254" s="47"/>
      <c r="CA254" s="47"/>
      <c r="CB254" s="47"/>
      <c r="CC254" s="47"/>
    </row>
    <row r="255" ht="21.0" customHeight="1">
      <c r="A255" s="12"/>
      <c r="B255" s="108"/>
      <c r="C255" s="108"/>
      <c r="D255" s="108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47"/>
      <c r="AW255" s="47"/>
      <c r="AX255" s="47"/>
      <c r="AY255" s="47"/>
      <c r="AZ255" s="47"/>
      <c r="BA255" s="47"/>
      <c r="BB255" s="47"/>
      <c r="BC255" s="47"/>
      <c r="BD255" s="47"/>
      <c r="BE255" s="47"/>
      <c r="BF255" s="47"/>
      <c r="BG255" s="47"/>
      <c r="BH255" s="47"/>
      <c r="BI255" s="47"/>
      <c r="BJ255" s="47"/>
      <c r="BK255" s="47"/>
      <c r="BL255" s="47"/>
      <c r="BM255" s="47"/>
      <c r="BN255" s="47"/>
      <c r="BO255" s="47"/>
      <c r="BP255" s="47"/>
      <c r="BQ255" s="47"/>
      <c r="BR255" s="47"/>
      <c r="BS255" s="47"/>
      <c r="BT255" s="47"/>
      <c r="BU255" s="47"/>
      <c r="BV255" s="47"/>
      <c r="BW255" s="47"/>
      <c r="BX255" s="47"/>
      <c r="BY255" s="47"/>
      <c r="BZ255" s="47"/>
      <c r="CA255" s="47"/>
      <c r="CB255" s="47"/>
      <c r="CC255" s="47"/>
    </row>
    <row r="256" ht="21.0" customHeight="1">
      <c r="A256" s="12"/>
      <c r="B256" s="108"/>
      <c r="C256" s="108"/>
      <c r="D256" s="108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47"/>
      <c r="AW256" s="47"/>
      <c r="AX256" s="47"/>
      <c r="AY256" s="47"/>
      <c r="AZ256" s="47"/>
      <c r="BA256" s="47"/>
      <c r="BB256" s="47"/>
      <c r="BC256" s="47"/>
      <c r="BD256" s="47"/>
      <c r="BE256" s="47"/>
      <c r="BF256" s="47"/>
      <c r="BG256" s="47"/>
      <c r="BH256" s="47"/>
      <c r="BI256" s="47"/>
      <c r="BJ256" s="47"/>
      <c r="BK256" s="47"/>
      <c r="BL256" s="47"/>
      <c r="BM256" s="47"/>
      <c r="BN256" s="47"/>
      <c r="BO256" s="47"/>
      <c r="BP256" s="47"/>
      <c r="BQ256" s="47"/>
      <c r="BR256" s="47"/>
      <c r="BS256" s="47"/>
      <c r="BT256" s="47"/>
      <c r="BU256" s="47"/>
      <c r="BV256" s="47"/>
      <c r="BW256" s="47"/>
      <c r="BX256" s="47"/>
      <c r="BY256" s="47"/>
      <c r="BZ256" s="47"/>
      <c r="CA256" s="47"/>
      <c r="CB256" s="47"/>
      <c r="CC256" s="47"/>
    </row>
    <row r="257" ht="21.0" customHeight="1">
      <c r="A257" s="12"/>
      <c r="B257" s="108"/>
      <c r="C257" s="108"/>
      <c r="D257" s="108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47"/>
      <c r="AW257" s="47"/>
      <c r="AX257" s="47"/>
      <c r="AY257" s="47"/>
      <c r="AZ257" s="47"/>
      <c r="BA257" s="47"/>
      <c r="BB257" s="47"/>
      <c r="BC257" s="47"/>
      <c r="BD257" s="47"/>
      <c r="BE257" s="47"/>
      <c r="BF257" s="47"/>
      <c r="BG257" s="47"/>
      <c r="BH257" s="47"/>
      <c r="BI257" s="47"/>
      <c r="BJ257" s="47"/>
      <c r="BK257" s="47"/>
      <c r="BL257" s="47"/>
      <c r="BM257" s="47"/>
      <c r="BN257" s="47"/>
      <c r="BO257" s="47"/>
      <c r="BP257" s="47"/>
      <c r="BQ257" s="47"/>
      <c r="BR257" s="47"/>
      <c r="BS257" s="47"/>
      <c r="BT257" s="47"/>
      <c r="BU257" s="47"/>
      <c r="BV257" s="47"/>
      <c r="BW257" s="47"/>
      <c r="BX257" s="47"/>
      <c r="BY257" s="47"/>
      <c r="BZ257" s="47"/>
      <c r="CA257" s="47"/>
      <c r="CB257" s="47"/>
      <c r="CC257" s="47"/>
    </row>
    <row r="258" ht="21.0" customHeight="1">
      <c r="A258" s="12"/>
      <c r="B258" s="108"/>
      <c r="C258" s="108"/>
      <c r="D258" s="108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47"/>
      <c r="AW258" s="47"/>
      <c r="AX258" s="47"/>
      <c r="AY258" s="47"/>
      <c r="AZ258" s="47"/>
      <c r="BA258" s="47"/>
      <c r="BB258" s="47"/>
      <c r="BC258" s="47"/>
      <c r="BD258" s="47"/>
      <c r="BE258" s="47"/>
      <c r="BF258" s="47"/>
      <c r="BG258" s="47"/>
      <c r="BH258" s="47"/>
      <c r="BI258" s="47"/>
      <c r="BJ258" s="47"/>
      <c r="BK258" s="47"/>
      <c r="BL258" s="47"/>
      <c r="BM258" s="47"/>
      <c r="BN258" s="47"/>
      <c r="BO258" s="47"/>
      <c r="BP258" s="47"/>
      <c r="BQ258" s="47"/>
      <c r="BR258" s="47"/>
      <c r="BS258" s="47"/>
      <c r="BT258" s="47"/>
      <c r="BU258" s="47"/>
      <c r="BV258" s="47"/>
      <c r="BW258" s="47"/>
      <c r="BX258" s="47"/>
      <c r="BY258" s="47"/>
      <c r="BZ258" s="47"/>
      <c r="CA258" s="47"/>
      <c r="CB258" s="47"/>
      <c r="CC258" s="47"/>
    </row>
    <row r="259" ht="21.0" customHeight="1">
      <c r="A259" s="12"/>
      <c r="B259" s="108"/>
      <c r="C259" s="108"/>
      <c r="D259" s="108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47"/>
      <c r="AW259" s="47"/>
      <c r="AX259" s="47"/>
      <c r="AY259" s="47"/>
      <c r="AZ259" s="47"/>
      <c r="BA259" s="47"/>
      <c r="BB259" s="47"/>
      <c r="BC259" s="47"/>
      <c r="BD259" s="47"/>
      <c r="BE259" s="47"/>
      <c r="BF259" s="47"/>
      <c r="BG259" s="47"/>
      <c r="BH259" s="47"/>
      <c r="BI259" s="47"/>
      <c r="BJ259" s="47"/>
      <c r="BK259" s="47"/>
      <c r="BL259" s="47"/>
      <c r="BM259" s="47"/>
      <c r="BN259" s="47"/>
      <c r="BO259" s="47"/>
      <c r="BP259" s="47"/>
      <c r="BQ259" s="47"/>
      <c r="BR259" s="47"/>
      <c r="BS259" s="47"/>
      <c r="BT259" s="47"/>
      <c r="BU259" s="47"/>
      <c r="BV259" s="47"/>
      <c r="BW259" s="47"/>
      <c r="BX259" s="47"/>
      <c r="BY259" s="47"/>
      <c r="BZ259" s="47"/>
      <c r="CA259" s="47"/>
      <c r="CB259" s="47"/>
      <c r="CC259" s="47"/>
    </row>
    <row r="260" ht="21.0" customHeight="1">
      <c r="A260" s="12"/>
      <c r="B260" s="108"/>
      <c r="C260" s="108"/>
      <c r="D260" s="108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47"/>
      <c r="AW260" s="47"/>
      <c r="AX260" s="47"/>
      <c r="AY260" s="47"/>
      <c r="AZ260" s="47"/>
      <c r="BA260" s="47"/>
      <c r="BB260" s="47"/>
      <c r="BC260" s="47"/>
      <c r="BD260" s="47"/>
      <c r="BE260" s="47"/>
      <c r="BF260" s="47"/>
      <c r="BG260" s="47"/>
      <c r="BH260" s="47"/>
      <c r="BI260" s="47"/>
      <c r="BJ260" s="47"/>
      <c r="BK260" s="47"/>
      <c r="BL260" s="47"/>
      <c r="BM260" s="47"/>
      <c r="BN260" s="47"/>
      <c r="BO260" s="47"/>
      <c r="BP260" s="47"/>
      <c r="BQ260" s="47"/>
      <c r="BR260" s="47"/>
      <c r="BS260" s="47"/>
      <c r="BT260" s="47"/>
      <c r="BU260" s="47"/>
      <c r="BV260" s="47"/>
      <c r="BW260" s="47"/>
      <c r="BX260" s="47"/>
      <c r="BY260" s="47"/>
      <c r="BZ260" s="47"/>
      <c r="CA260" s="47"/>
      <c r="CB260" s="47"/>
      <c r="CC260" s="47"/>
    </row>
    <row r="261" ht="21.0" customHeight="1">
      <c r="A261" s="12"/>
      <c r="B261" s="108"/>
      <c r="C261" s="108"/>
      <c r="D261" s="108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47"/>
      <c r="AW261" s="47"/>
      <c r="AX261" s="47"/>
      <c r="AY261" s="47"/>
      <c r="AZ261" s="47"/>
      <c r="BA261" s="47"/>
      <c r="BB261" s="47"/>
      <c r="BC261" s="47"/>
      <c r="BD261" s="47"/>
      <c r="BE261" s="47"/>
      <c r="BF261" s="47"/>
      <c r="BG261" s="47"/>
      <c r="BH261" s="47"/>
      <c r="BI261" s="47"/>
      <c r="BJ261" s="47"/>
      <c r="BK261" s="47"/>
      <c r="BL261" s="47"/>
      <c r="BM261" s="47"/>
      <c r="BN261" s="47"/>
      <c r="BO261" s="47"/>
      <c r="BP261" s="47"/>
      <c r="BQ261" s="47"/>
      <c r="BR261" s="47"/>
      <c r="BS261" s="47"/>
      <c r="BT261" s="47"/>
      <c r="BU261" s="47"/>
      <c r="BV261" s="47"/>
      <c r="BW261" s="47"/>
      <c r="BX261" s="47"/>
      <c r="BY261" s="47"/>
      <c r="BZ261" s="47"/>
      <c r="CA261" s="47"/>
      <c r="CB261" s="47"/>
      <c r="CC261" s="47"/>
    </row>
    <row r="262" ht="21.0" customHeight="1">
      <c r="A262" s="12"/>
      <c r="B262" s="108"/>
      <c r="C262" s="108"/>
      <c r="D262" s="108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47"/>
      <c r="AW262" s="47"/>
      <c r="AX262" s="47"/>
      <c r="AY262" s="47"/>
      <c r="AZ262" s="47"/>
      <c r="BA262" s="47"/>
      <c r="BB262" s="47"/>
      <c r="BC262" s="47"/>
      <c r="BD262" s="47"/>
      <c r="BE262" s="47"/>
      <c r="BF262" s="47"/>
      <c r="BG262" s="47"/>
      <c r="BH262" s="47"/>
      <c r="BI262" s="47"/>
      <c r="BJ262" s="47"/>
      <c r="BK262" s="47"/>
      <c r="BL262" s="47"/>
      <c r="BM262" s="47"/>
      <c r="BN262" s="47"/>
      <c r="BO262" s="47"/>
      <c r="BP262" s="47"/>
      <c r="BQ262" s="47"/>
      <c r="BR262" s="47"/>
      <c r="BS262" s="47"/>
      <c r="BT262" s="47"/>
      <c r="BU262" s="47"/>
      <c r="BV262" s="47"/>
      <c r="BW262" s="47"/>
      <c r="BX262" s="47"/>
      <c r="BY262" s="47"/>
      <c r="BZ262" s="47"/>
      <c r="CA262" s="47"/>
      <c r="CB262" s="47"/>
      <c r="CC262" s="47"/>
    </row>
    <row r="263" ht="21.0" customHeight="1">
      <c r="A263" s="12"/>
      <c r="B263" s="108"/>
      <c r="C263" s="108"/>
      <c r="D263" s="108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47"/>
      <c r="AW263" s="47"/>
      <c r="AX263" s="47"/>
      <c r="AY263" s="47"/>
      <c r="AZ263" s="47"/>
      <c r="BA263" s="47"/>
      <c r="BB263" s="47"/>
      <c r="BC263" s="47"/>
      <c r="BD263" s="47"/>
      <c r="BE263" s="47"/>
      <c r="BF263" s="47"/>
      <c r="BG263" s="47"/>
      <c r="BH263" s="47"/>
      <c r="BI263" s="47"/>
      <c r="BJ263" s="47"/>
      <c r="BK263" s="47"/>
      <c r="BL263" s="47"/>
      <c r="BM263" s="47"/>
      <c r="BN263" s="47"/>
      <c r="BO263" s="47"/>
      <c r="BP263" s="47"/>
      <c r="BQ263" s="47"/>
      <c r="BR263" s="47"/>
      <c r="BS263" s="47"/>
      <c r="BT263" s="47"/>
      <c r="BU263" s="47"/>
      <c r="BV263" s="47"/>
      <c r="BW263" s="47"/>
      <c r="BX263" s="47"/>
      <c r="BY263" s="47"/>
      <c r="BZ263" s="47"/>
      <c r="CA263" s="47"/>
      <c r="CB263" s="47"/>
      <c r="CC263" s="47"/>
    </row>
    <row r="264" ht="21.0" customHeight="1">
      <c r="A264" s="12"/>
      <c r="B264" s="108"/>
      <c r="C264" s="108"/>
      <c r="D264" s="108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47"/>
      <c r="AW264" s="47"/>
      <c r="AX264" s="47"/>
      <c r="AY264" s="47"/>
      <c r="AZ264" s="47"/>
      <c r="BA264" s="47"/>
      <c r="BB264" s="47"/>
      <c r="BC264" s="47"/>
      <c r="BD264" s="47"/>
      <c r="BE264" s="47"/>
      <c r="BF264" s="47"/>
      <c r="BG264" s="47"/>
      <c r="BH264" s="47"/>
      <c r="BI264" s="47"/>
      <c r="BJ264" s="47"/>
      <c r="BK264" s="47"/>
      <c r="BL264" s="47"/>
      <c r="BM264" s="47"/>
      <c r="BN264" s="47"/>
      <c r="BO264" s="47"/>
      <c r="BP264" s="47"/>
      <c r="BQ264" s="47"/>
      <c r="BR264" s="47"/>
      <c r="BS264" s="47"/>
      <c r="BT264" s="47"/>
      <c r="BU264" s="47"/>
      <c r="BV264" s="47"/>
      <c r="BW264" s="47"/>
      <c r="BX264" s="47"/>
      <c r="BY264" s="47"/>
      <c r="BZ264" s="47"/>
      <c r="CA264" s="47"/>
      <c r="CB264" s="47"/>
      <c r="CC264" s="47"/>
    </row>
    <row r="265" ht="21.0" customHeight="1">
      <c r="A265" s="12"/>
      <c r="B265" s="108"/>
      <c r="C265" s="108"/>
      <c r="D265" s="108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47"/>
      <c r="AW265" s="47"/>
      <c r="AX265" s="47"/>
      <c r="AY265" s="47"/>
      <c r="AZ265" s="47"/>
      <c r="BA265" s="47"/>
      <c r="BB265" s="47"/>
      <c r="BC265" s="47"/>
      <c r="BD265" s="47"/>
      <c r="BE265" s="47"/>
      <c r="BF265" s="47"/>
      <c r="BG265" s="47"/>
      <c r="BH265" s="47"/>
      <c r="BI265" s="47"/>
      <c r="BJ265" s="47"/>
      <c r="BK265" s="47"/>
      <c r="BL265" s="47"/>
      <c r="BM265" s="47"/>
      <c r="BN265" s="47"/>
      <c r="BO265" s="47"/>
      <c r="BP265" s="47"/>
      <c r="BQ265" s="47"/>
      <c r="BR265" s="47"/>
      <c r="BS265" s="47"/>
      <c r="BT265" s="47"/>
      <c r="BU265" s="47"/>
      <c r="BV265" s="47"/>
      <c r="BW265" s="47"/>
      <c r="BX265" s="47"/>
      <c r="BY265" s="47"/>
      <c r="BZ265" s="47"/>
      <c r="CA265" s="47"/>
      <c r="CB265" s="47"/>
      <c r="CC265" s="47"/>
    </row>
    <row r="266" ht="21.0" customHeight="1">
      <c r="A266" s="12"/>
      <c r="B266" s="108"/>
      <c r="C266" s="108"/>
      <c r="D266" s="108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47"/>
      <c r="AW266" s="47"/>
      <c r="AX266" s="47"/>
      <c r="AY266" s="47"/>
      <c r="AZ266" s="47"/>
      <c r="BA266" s="47"/>
      <c r="BB266" s="47"/>
      <c r="BC266" s="47"/>
      <c r="BD266" s="47"/>
      <c r="BE266" s="47"/>
      <c r="BF266" s="47"/>
      <c r="BG266" s="47"/>
      <c r="BH266" s="47"/>
      <c r="BI266" s="47"/>
      <c r="BJ266" s="47"/>
      <c r="BK266" s="47"/>
      <c r="BL266" s="47"/>
      <c r="BM266" s="47"/>
      <c r="BN266" s="47"/>
      <c r="BO266" s="47"/>
      <c r="BP266" s="47"/>
      <c r="BQ266" s="47"/>
      <c r="BR266" s="47"/>
      <c r="BS266" s="47"/>
      <c r="BT266" s="47"/>
      <c r="BU266" s="47"/>
      <c r="BV266" s="47"/>
      <c r="BW266" s="47"/>
      <c r="BX266" s="47"/>
      <c r="BY266" s="47"/>
      <c r="BZ266" s="47"/>
      <c r="CA266" s="47"/>
      <c r="CB266" s="47"/>
      <c r="CC266" s="47"/>
    </row>
    <row r="267" ht="21.0" customHeight="1">
      <c r="A267" s="12"/>
      <c r="B267" s="107"/>
      <c r="C267" s="107"/>
      <c r="D267" s="108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47"/>
      <c r="AW267" s="47"/>
      <c r="AX267" s="47"/>
      <c r="AY267" s="47"/>
      <c r="AZ267" s="47"/>
      <c r="BA267" s="47"/>
      <c r="BB267" s="47"/>
      <c r="BC267" s="47"/>
      <c r="BD267" s="47"/>
      <c r="BE267" s="47"/>
      <c r="BF267" s="47"/>
      <c r="BG267" s="47"/>
      <c r="BH267" s="47"/>
      <c r="BI267" s="47"/>
      <c r="BJ267" s="47"/>
      <c r="BK267" s="47"/>
      <c r="BL267" s="47"/>
      <c r="BM267" s="47"/>
      <c r="BN267" s="47"/>
      <c r="BO267" s="47"/>
      <c r="BP267" s="47"/>
      <c r="BQ267" s="47"/>
      <c r="BR267" s="47"/>
      <c r="BS267" s="47"/>
      <c r="BT267" s="47"/>
      <c r="BU267" s="47"/>
      <c r="BV267" s="47"/>
      <c r="BW267" s="47"/>
      <c r="BX267" s="47"/>
      <c r="BY267" s="47"/>
      <c r="BZ267" s="47"/>
      <c r="CA267" s="47"/>
      <c r="CB267" s="47"/>
      <c r="CC267" s="47"/>
    </row>
    <row r="268" ht="21.0" customHeight="1">
      <c r="A268" s="12"/>
      <c r="B268" s="108"/>
      <c r="C268" s="108"/>
      <c r="D268" s="108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47"/>
      <c r="AW268" s="47"/>
      <c r="AX268" s="47"/>
      <c r="AY268" s="47"/>
      <c r="AZ268" s="47"/>
      <c r="BA268" s="47"/>
      <c r="BB268" s="47"/>
      <c r="BC268" s="47"/>
      <c r="BD268" s="47"/>
      <c r="BE268" s="47"/>
      <c r="BF268" s="47"/>
      <c r="BG268" s="47"/>
      <c r="BH268" s="47"/>
      <c r="BI268" s="47"/>
      <c r="BJ268" s="47"/>
      <c r="BK268" s="47"/>
      <c r="BL268" s="47"/>
      <c r="BM268" s="47"/>
      <c r="BN268" s="47"/>
      <c r="BO268" s="47"/>
      <c r="BP268" s="47"/>
      <c r="BQ268" s="47"/>
      <c r="BR268" s="47"/>
      <c r="BS268" s="47"/>
      <c r="BT268" s="47"/>
      <c r="BU268" s="47"/>
      <c r="BV268" s="47"/>
      <c r="BW268" s="47"/>
      <c r="BX268" s="47"/>
      <c r="BY268" s="47"/>
      <c r="BZ268" s="47"/>
      <c r="CA268" s="47"/>
      <c r="CB268" s="47"/>
      <c r="CC268" s="47"/>
    </row>
    <row r="269" ht="21.0" customHeight="1">
      <c r="A269" s="12"/>
      <c r="B269" s="108"/>
      <c r="C269" s="108"/>
      <c r="D269" s="108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47"/>
      <c r="AW269" s="47"/>
      <c r="AX269" s="47"/>
      <c r="AY269" s="47"/>
      <c r="AZ269" s="47"/>
      <c r="BA269" s="47"/>
      <c r="BB269" s="47"/>
      <c r="BC269" s="47"/>
      <c r="BD269" s="47"/>
      <c r="BE269" s="47"/>
      <c r="BF269" s="47"/>
      <c r="BG269" s="47"/>
      <c r="BH269" s="47"/>
      <c r="BI269" s="47"/>
      <c r="BJ269" s="47"/>
      <c r="BK269" s="47"/>
      <c r="BL269" s="47"/>
      <c r="BM269" s="47"/>
      <c r="BN269" s="47"/>
      <c r="BO269" s="47"/>
      <c r="BP269" s="47"/>
      <c r="BQ269" s="47"/>
      <c r="BR269" s="47"/>
      <c r="BS269" s="47"/>
      <c r="BT269" s="47"/>
      <c r="BU269" s="47"/>
      <c r="BV269" s="47"/>
      <c r="BW269" s="47"/>
      <c r="BX269" s="47"/>
      <c r="BY269" s="47"/>
      <c r="BZ269" s="47"/>
      <c r="CA269" s="47"/>
      <c r="CB269" s="47"/>
      <c r="CC269" s="47"/>
    </row>
    <row r="270" ht="21.0" customHeight="1">
      <c r="A270" s="12"/>
      <c r="B270" s="108"/>
      <c r="C270" s="108"/>
      <c r="D270" s="108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47"/>
      <c r="AW270" s="47"/>
      <c r="AX270" s="47"/>
      <c r="AY270" s="47"/>
      <c r="AZ270" s="47"/>
      <c r="BA270" s="47"/>
      <c r="BB270" s="47"/>
      <c r="BC270" s="47"/>
      <c r="BD270" s="47"/>
      <c r="BE270" s="47"/>
      <c r="BF270" s="47"/>
      <c r="BG270" s="47"/>
      <c r="BH270" s="47"/>
      <c r="BI270" s="47"/>
      <c r="BJ270" s="47"/>
      <c r="BK270" s="47"/>
      <c r="BL270" s="47"/>
      <c r="BM270" s="47"/>
      <c r="BN270" s="47"/>
      <c r="BO270" s="47"/>
      <c r="BP270" s="47"/>
      <c r="BQ270" s="47"/>
      <c r="BR270" s="47"/>
      <c r="BS270" s="47"/>
      <c r="BT270" s="47"/>
      <c r="BU270" s="47"/>
      <c r="BV270" s="47"/>
      <c r="BW270" s="47"/>
      <c r="BX270" s="47"/>
      <c r="BY270" s="47"/>
      <c r="BZ270" s="47"/>
      <c r="CA270" s="47"/>
      <c r="CB270" s="47"/>
      <c r="CC270" s="47"/>
    </row>
    <row r="271" ht="21.0" customHeight="1">
      <c r="A271" s="12"/>
      <c r="B271" s="108"/>
      <c r="C271" s="108"/>
      <c r="D271" s="108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47"/>
      <c r="AW271" s="47"/>
      <c r="AX271" s="47"/>
      <c r="AY271" s="47"/>
      <c r="AZ271" s="47"/>
      <c r="BA271" s="47"/>
      <c r="BB271" s="47"/>
      <c r="BC271" s="47"/>
      <c r="BD271" s="47"/>
      <c r="BE271" s="47"/>
      <c r="BF271" s="47"/>
      <c r="BG271" s="47"/>
      <c r="BH271" s="47"/>
      <c r="BI271" s="47"/>
      <c r="BJ271" s="47"/>
      <c r="BK271" s="47"/>
      <c r="BL271" s="47"/>
      <c r="BM271" s="47"/>
      <c r="BN271" s="47"/>
      <c r="BO271" s="47"/>
      <c r="BP271" s="47"/>
      <c r="BQ271" s="47"/>
      <c r="BR271" s="47"/>
      <c r="BS271" s="47"/>
      <c r="BT271" s="47"/>
      <c r="BU271" s="47"/>
      <c r="BV271" s="47"/>
      <c r="BW271" s="47"/>
      <c r="BX271" s="47"/>
      <c r="BY271" s="47"/>
      <c r="BZ271" s="47"/>
      <c r="CA271" s="47"/>
      <c r="CB271" s="47"/>
      <c r="CC271" s="47"/>
    </row>
    <row r="272" ht="21.0" customHeight="1">
      <c r="A272" s="12"/>
      <c r="B272" s="118"/>
      <c r="C272" s="118"/>
      <c r="D272" s="108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47"/>
      <c r="AW272" s="47"/>
      <c r="AX272" s="47"/>
      <c r="AY272" s="47"/>
      <c r="AZ272" s="47"/>
      <c r="BA272" s="47"/>
      <c r="BB272" s="47"/>
      <c r="BC272" s="47"/>
      <c r="BD272" s="47"/>
      <c r="BE272" s="47"/>
      <c r="BF272" s="47"/>
      <c r="BG272" s="47"/>
      <c r="BH272" s="47"/>
      <c r="BI272" s="47"/>
      <c r="BJ272" s="47"/>
      <c r="BK272" s="47"/>
      <c r="BL272" s="47"/>
      <c r="BM272" s="47"/>
      <c r="BN272" s="47"/>
      <c r="BO272" s="47"/>
      <c r="BP272" s="47"/>
      <c r="BQ272" s="47"/>
      <c r="BR272" s="47"/>
      <c r="BS272" s="47"/>
      <c r="BT272" s="47"/>
      <c r="BU272" s="47"/>
      <c r="BV272" s="47"/>
      <c r="BW272" s="47"/>
      <c r="BX272" s="47"/>
      <c r="BY272" s="47"/>
      <c r="BZ272" s="47"/>
      <c r="CA272" s="47"/>
      <c r="CB272" s="47"/>
      <c r="CC272" s="47"/>
    </row>
    <row r="273" ht="21.0" customHeight="1">
      <c r="A273" s="12"/>
      <c r="B273" s="107"/>
      <c r="C273" s="107"/>
      <c r="D273" s="108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47"/>
      <c r="AW273" s="47"/>
      <c r="AX273" s="47"/>
      <c r="AY273" s="47"/>
      <c r="AZ273" s="47"/>
      <c r="BA273" s="47"/>
      <c r="BB273" s="47"/>
      <c r="BC273" s="47"/>
      <c r="BD273" s="47"/>
      <c r="BE273" s="47"/>
      <c r="BF273" s="47"/>
      <c r="BG273" s="47"/>
      <c r="BH273" s="47"/>
      <c r="BI273" s="47"/>
      <c r="BJ273" s="47"/>
      <c r="BK273" s="47"/>
      <c r="BL273" s="47"/>
      <c r="BM273" s="47"/>
      <c r="BN273" s="47"/>
      <c r="BO273" s="47"/>
      <c r="BP273" s="47"/>
      <c r="BQ273" s="47"/>
      <c r="BR273" s="47"/>
      <c r="BS273" s="47"/>
      <c r="BT273" s="47"/>
      <c r="BU273" s="47"/>
      <c r="BV273" s="47"/>
      <c r="BW273" s="47"/>
      <c r="BX273" s="47"/>
      <c r="BY273" s="47"/>
      <c r="BZ273" s="47"/>
      <c r="CA273" s="47"/>
      <c r="CB273" s="47"/>
      <c r="CC273" s="47"/>
    </row>
    <row r="274" ht="21.0" customHeight="1">
      <c r="A274" s="12"/>
      <c r="B274" s="108"/>
      <c r="C274" s="108"/>
      <c r="D274" s="108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  <c r="BY274" s="47"/>
      <c r="BZ274" s="47"/>
      <c r="CA274" s="47"/>
      <c r="CB274" s="47"/>
      <c r="CC274" s="47"/>
    </row>
    <row r="275" ht="21.0" customHeight="1">
      <c r="A275" s="12"/>
      <c r="B275" s="108"/>
      <c r="C275" s="108"/>
      <c r="D275" s="108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/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  <c r="BY275" s="47"/>
      <c r="BZ275" s="47"/>
      <c r="CA275" s="47"/>
      <c r="CB275" s="47"/>
      <c r="CC275" s="47"/>
    </row>
    <row r="276" ht="21.0" customHeight="1">
      <c r="A276" s="12"/>
      <c r="B276" s="108"/>
      <c r="C276" s="108"/>
      <c r="D276" s="108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  <c r="BY276" s="47"/>
      <c r="BZ276" s="47"/>
      <c r="CA276" s="47"/>
      <c r="CB276" s="47"/>
      <c r="CC276" s="47"/>
    </row>
    <row r="277" ht="21.0" customHeight="1">
      <c r="A277" s="12"/>
      <c r="B277" s="108"/>
      <c r="C277" s="108"/>
      <c r="D277" s="108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47"/>
      <c r="AW277" s="47"/>
      <c r="AX277" s="47"/>
      <c r="AY277" s="47"/>
      <c r="AZ277" s="47"/>
      <c r="BA277" s="47"/>
      <c r="BB277" s="47"/>
      <c r="BC277" s="47"/>
      <c r="BD277" s="47"/>
      <c r="BE277" s="47"/>
      <c r="BF277" s="47"/>
      <c r="BG277" s="47"/>
      <c r="BH277" s="47"/>
      <c r="BI277" s="47"/>
      <c r="BJ277" s="47"/>
      <c r="BK277" s="47"/>
      <c r="BL277" s="47"/>
      <c r="BM277" s="47"/>
      <c r="BN277" s="47"/>
      <c r="BO277" s="47"/>
      <c r="BP277" s="47"/>
      <c r="BQ277" s="47"/>
      <c r="BR277" s="47"/>
      <c r="BS277" s="47"/>
      <c r="BT277" s="47"/>
      <c r="BU277" s="47"/>
      <c r="BV277" s="47"/>
      <c r="BW277" s="47"/>
      <c r="BX277" s="47"/>
      <c r="BY277" s="47"/>
      <c r="BZ277" s="47"/>
      <c r="CA277" s="47"/>
      <c r="CB277" s="47"/>
      <c r="CC277" s="47"/>
    </row>
    <row r="278" ht="21.0" customHeight="1">
      <c r="A278" s="12"/>
      <c r="B278" s="108"/>
      <c r="C278" s="108"/>
      <c r="D278" s="108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47"/>
      <c r="AW278" s="47"/>
      <c r="AX278" s="47"/>
      <c r="AY278" s="47"/>
      <c r="AZ278" s="47"/>
      <c r="BA278" s="47"/>
      <c r="BB278" s="47"/>
      <c r="BC278" s="47"/>
      <c r="BD278" s="47"/>
      <c r="BE278" s="47"/>
      <c r="BF278" s="47"/>
      <c r="BG278" s="47"/>
      <c r="BH278" s="47"/>
      <c r="BI278" s="47"/>
      <c r="BJ278" s="47"/>
      <c r="BK278" s="47"/>
      <c r="BL278" s="47"/>
      <c r="BM278" s="47"/>
      <c r="BN278" s="47"/>
      <c r="BO278" s="47"/>
      <c r="BP278" s="47"/>
      <c r="BQ278" s="47"/>
      <c r="BR278" s="47"/>
      <c r="BS278" s="47"/>
      <c r="BT278" s="47"/>
      <c r="BU278" s="47"/>
      <c r="BV278" s="47"/>
      <c r="BW278" s="47"/>
      <c r="BX278" s="47"/>
      <c r="BY278" s="47"/>
      <c r="BZ278" s="47"/>
      <c r="CA278" s="47"/>
      <c r="CB278" s="47"/>
      <c r="CC278" s="47"/>
    </row>
    <row r="279" ht="21.0" customHeight="1">
      <c r="A279" s="12"/>
      <c r="B279" s="108"/>
      <c r="C279" s="108"/>
      <c r="D279" s="108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47"/>
      <c r="AW279" s="47"/>
      <c r="AX279" s="47"/>
      <c r="AY279" s="47"/>
      <c r="AZ279" s="47"/>
      <c r="BA279" s="47"/>
      <c r="BB279" s="47"/>
      <c r="BC279" s="47"/>
      <c r="BD279" s="47"/>
      <c r="BE279" s="47"/>
      <c r="BF279" s="47"/>
      <c r="BG279" s="47"/>
      <c r="BH279" s="47"/>
      <c r="BI279" s="47"/>
      <c r="BJ279" s="47"/>
      <c r="BK279" s="47"/>
      <c r="BL279" s="47"/>
      <c r="BM279" s="47"/>
      <c r="BN279" s="47"/>
      <c r="BO279" s="47"/>
      <c r="BP279" s="47"/>
      <c r="BQ279" s="47"/>
      <c r="BR279" s="47"/>
      <c r="BS279" s="47"/>
      <c r="BT279" s="47"/>
      <c r="BU279" s="47"/>
      <c r="BV279" s="47"/>
      <c r="BW279" s="47"/>
      <c r="BX279" s="47"/>
      <c r="BY279" s="47"/>
      <c r="BZ279" s="47"/>
      <c r="CA279" s="47"/>
      <c r="CB279" s="47"/>
      <c r="CC279" s="47"/>
    </row>
    <row r="280" ht="21.0" customHeight="1">
      <c r="A280" s="12"/>
      <c r="B280" s="108"/>
      <c r="C280" s="108"/>
      <c r="D280" s="108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47"/>
      <c r="AW280" s="47"/>
      <c r="AX280" s="47"/>
      <c r="AY280" s="47"/>
      <c r="AZ280" s="47"/>
      <c r="BA280" s="47"/>
      <c r="BB280" s="47"/>
      <c r="BC280" s="47"/>
      <c r="BD280" s="47"/>
      <c r="BE280" s="47"/>
      <c r="BF280" s="47"/>
      <c r="BG280" s="47"/>
      <c r="BH280" s="47"/>
      <c r="BI280" s="47"/>
      <c r="BJ280" s="47"/>
      <c r="BK280" s="47"/>
      <c r="BL280" s="47"/>
      <c r="BM280" s="47"/>
      <c r="BN280" s="47"/>
      <c r="BO280" s="47"/>
      <c r="BP280" s="47"/>
      <c r="BQ280" s="47"/>
      <c r="BR280" s="47"/>
      <c r="BS280" s="47"/>
      <c r="BT280" s="47"/>
      <c r="BU280" s="47"/>
      <c r="BV280" s="47"/>
      <c r="BW280" s="47"/>
      <c r="BX280" s="47"/>
      <c r="BY280" s="47"/>
      <c r="BZ280" s="47"/>
      <c r="CA280" s="47"/>
      <c r="CB280" s="47"/>
      <c r="CC280" s="47"/>
    </row>
    <row r="281" ht="21.0" customHeight="1">
      <c r="A281" s="12"/>
      <c r="B281" s="108"/>
      <c r="C281" s="108"/>
      <c r="D281" s="108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47"/>
      <c r="AW281" s="47"/>
      <c r="AX281" s="47"/>
      <c r="AY281" s="47"/>
      <c r="AZ281" s="47"/>
      <c r="BA281" s="47"/>
      <c r="BB281" s="47"/>
      <c r="BC281" s="47"/>
      <c r="BD281" s="47"/>
      <c r="BE281" s="47"/>
      <c r="BF281" s="47"/>
      <c r="BG281" s="47"/>
      <c r="BH281" s="47"/>
      <c r="BI281" s="47"/>
      <c r="BJ281" s="47"/>
      <c r="BK281" s="47"/>
      <c r="BL281" s="47"/>
      <c r="BM281" s="47"/>
      <c r="BN281" s="47"/>
      <c r="BO281" s="47"/>
      <c r="BP281" s="47"/>
      <c r="BQ281" s="47"/>
      <c r="BR281" s="47"/>
      <c r="BS281" s="47"/>
      <c r="BT281" s="47"/>
      <c r="BU281" s="47"/>
      <c r="BV281" s="47"/>
      <c r="BW281" s="47"/>
      <c r="BX281" s="47"/>
      <c r="BY281" s="47"/>
      <c r="BZ281" s="47"/>
      <c r="CA281" s="47"/>
      <c r="CB281" s="47"/>
      <c r="CC281" s="47"/>
    </row>
    <row r="282" ht="21.0" customHeight="1">
      <c r="A282" s="12"/>
      <c r="B282" s="108"/>
      <c r="C282" s="108"/>
      <c r="D282" s="108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47"/>
      <c r="AW282" s="47"/>
      <c r="AX282" s="47"/>
      <c r="AY282" s="47"/>
      <c r="AZ282" s="47"/>
      <c r="BA282" s="47"/>
      <c r="BB282" s="47"/>
      <c r="BC282" s="47"/>
      <c r="BD282" s="47"/>
      <c r="BE282" s="47"/>
      <c r="BF282" s="47"/>
      <c r="BG282" s="47"/>
      <c r="BH282" s="47"/>
      <c r="BI282" s="47"/>
      <c r="BJ282" s="47"/>
      <c r="BK282" s="47"/>
      <c r="BL282" s="47"/>
      <c r="BM282" s="47"/>
      <c r="BN282" s="47"/>
      <c r="BO282" s="47"/>
      <c r="BP282" s="47"/>
      <c r="BQ282" s="47"/>
      <c r="BR282" s="47"/>
      <c r="BS282" s="47"/>
      <c r="BT282" s="47"/>
      <c r="BU282" s="47"/>
      <c r="BV282" s="47"/>
      <c r="BW282" s="47"/>
      <c r="BX282" s="47"/>
      <c r="BY282" s="47"/>
      <c r="BZ282" s="47"/>
      <c r="CA282" s="47"/>
      <c r="CB282" s="47"/>
      <c r="CC282" s="47"/>
    </row>
    <row r="283" ht="21.0" customHeight="1">
      <c r="A283" s="12"/>
      <c r="B283" s="108"/>
      <c r="C283" s="108"/>
      <c r="D283" s="108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47"/>
      <c r="AW283" s="47"/>
      <c r="AX283" s="47"/>
      <c r="AY283" s="47"/>
      <c r="AZ283" s="47"/>
      <c r="BA283" s="47"/>
      <c r="BB283" s="47"/>
      <c r="BC283" s="47"/>
      <c r="BD283" s="47"/>
      <c r="BE283" s="47"/>
      <c r="BF283" s="47"/>
      <c r="BG283" s="47"/>
      <c r="BH283" s="47"/>
      <c r="BI283" s="47"/>
      <c r="BJ283" s="47"/>
      <c r="BK283" s="47"/>
      <c r="BL283" s="47"/>
      <c r="BM283" s="47"/>
      <c r="BN283" s="47"/>
      <c r="BO283" s="47"/>
      <c r="BP283" s="47"/>
      <c r="BQ283" s="47"/>
      <c r="BR283" s="47"/>
      <c r="BS283" s="47"/>
      <c r="BT283" s="47"/>
      <c r="BU283" s="47"/>
      <c r="BV283" s="47"/>
      <c r="BW283" s="47"/>
      <c r="BX283" s="47"/>
      <c r="BY283" s="47"/>
      <c r="BZ283" s="47"/>
      <c r="CA283" s="47"/>
      <c r="CB283" s="47"/>
      <c r="CC283" s="47"/>
    </row>
    <row r="284" ht="21.0" customHeight="1">
      <c r="A284" s="12"/>
      <c r="B284" s="107"/>
      <c r="C284" s="107"/>
      <c r="D284" s="108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47"/>
      <c r="AW284" s="47"/>
      <c r="AX284" s="47"/>
      <c r="AY284" s="47"/>
      <c r="AZ284" s="47"/>
      <c r="BA284" s="47"/>
      <c r="BB284" s="47"/>
      <c r="BC284" s="47"/>
      <c r="BD284" s="47"/>
      <c r="BE284" s="47"/>
      <c r="BF284" s="47"/>
      <c r="BG284" s="47"/>
      <c r="BH284" s="47"/>
      <c r="BI284" s="47"/>
      <c r="BJ284" s="47"/>
      <c r="BK284" s="47"/>
      <c r="BL284" s="47"/>
      <c r="BM284" s="47"/>
      <c r="BN284" s="47"/>
      <c r="BO284" s="47"/>
      <c r="BP284" s="47"/>
      <c r="BQ284" s="47"/>
      <c r="BR284" s="47"/>
      <c r="BS284" s="47"/>
      <c r="BT284" s="47"/>
      <c r="BU284" s="47"/>
      <c r="BV284" s="47"/>
      <c r="BW284" s="47"/>
      <c r="BX284" s="47"/>
      <c r="BY284" s="47"/>
      <c r="BZ284" s="47"/>
      <c r="CA284" s="47"/>
      <c r="CB284" s="47"/>
      <c r="CC284" s="47"/>
    </row>
    <row r="285" ht="21.0" customHeight="1">
      <c r="A285" s="12"/>
      <c r="B285" s="108"/>
      <c r="C285" s="108"/>
      <c r="D285" s="108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47"/>
      <c r="AW285" s="47"/>
      <c r="AX285" s="47"/>
      <c r="AY285" s="47"/>
      <c r="AZ285" s="47"/>
      <c r="BA285" s="47"/>
      <c r="BB285" s="47"/>
      <c r="BC285" s="47"/>
      <c r="BD285" s="47"/>
      <c r="BE285" s="47"/>
      <c r="BF285" s="47"/>
      <c r="BG285" s="47"/>
      <c r="BH285" s="47"/>
      <c r="BI285" s="47"/>
      <c r="BJ285" s="47"/>
      <c r="BK285" s="47"/>
      <c r="BL285" s="47"/>
      <c r="BM285" s="47"/>
      <c r="BN285" s="47"/>
      <c r="BO285" s="47"/>
      <c r="BP285" s="47"/>
      <c r="BQ285" s="47"/>
      <c r="BR285" s="47"/>
      <c r="BS285" s="47"/>
      <c r="BT285" s="47"/>
      <c r="BU285" s="47"/>
      <c r="BV285" s="47"/>
      <c r="BW285" s="47"/>
      <c r="BX285" s="47"/>
      <c r="BY285" s="47"/>
      <c r="BZ285" s="47"/>
      <c r="CA285" s="47"/>
      <c r="CB285" s="47"/>
      <c r="CC285" s="47"/>
    </row>
    <row r="286" ht="21.0" customHeight="1">
      <c r="A286" s="12"/>
      <c r="B286" s="108"/>
      <c r="C286" s="108"/>
      <c r="D286" s="108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47"/>
      <c r="AW286" s="47"/>
      <c r="AX286" s="47"/>
      <c r="AY286" s="47"/>
      <c r="AZ286" s="47"/>
      <c r="BA286" s="47"/>
      <c r="BB286" s="47"/>
      <c r="BC286" s="47"/>
      <c r="BD286" s="47"/>
      <c r="BE286" s="47"/>
      <c r="BF286" s="47"/>
      <c r="BG286" s="47"/>
      <c r="BH286" s="47"/>
      <c r="BI286" s="47"/>
      <c r="BJ286" s="47"/>
      <c r="BK286" s="47"/>
      <c r="BL286" s="47"/>
      <c r="BM286" s="47"/>
      <c r="BN286" s="47"/>
      <c r="BO286" s="47"/>
      <c r="BP286" s="47"/>
      <c r="BQ286" s="47"/>
      <c r="BR286" s="47"/>
      <c r="BS286" s="47"/>
      <c r="BT286" s="47"/>
      <c r="BU286" s="47"/>
      <c r="BV286" s="47"/>
      <c r="BW286" s="47"/>
      <c r="BX286" s="47"/>
      <c r="BY286" s="47"/>
      <c r="BZ286" s="47"/>
      <c r="CA286" s="47"/>
      <c r="CB286" s="47"/>
      <c r="CC286" s="47"/>
    </row>
    <row r="287" ht="21.0" customHeight="1">
      <c r="A287" s="12"/>
      <c r="B287" s="108"/>
      <c r="C287" s="108"/>
      <c r="D287" s="108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47"/>
      <c r="AW287" s="47"/>
      <c r="AX287" s="47"/>
      <c r="AY287" s="47"/>
      <c r="AZ287" s="47"/>
      <c r="BA287" s="47"/>
      <c r="BB287" s="47"/>
      <c r="BC287" s="47"/>
      <c r="BD287" s="47"/>
      <c r="BE287" s="47"/>
      <c r="BF287" s="47"/>
      <c r="BG287" s="47"/>
      <c r="BH287" s="47"/>
      <c r="BI287" s="47"/>
      <c r="BJ287" s="47"/>
      <c r="BK287" s="47"/>
      <c r="BL287" s="47"/>
      <c r="BM287" s="47"/>
      <c r="BN287" s="47"/>
      <c r="BO287" s="47"/>
      <c r="BP287" s="47"/>
      <c r="BQ287" s="47"/>
      <c r="BR287" s="47"/>
      <c r="BS287" s="47"/>
      <c r="BT287" s="47"/>
      <c r="BU287" s="47"/>
      <c r="BV287" s="47"/>
      <c r="BW287" s="47"/>
      <c r="BX287" s="47"/>
      <c r="BY287" s="47"/>
      <c r="BZ287" s="47"/>
      <c r="CA287" s="47"/>
      <c r="CB287" s="47"/>
      <c r="CC287" s="47"/>
    </row>
    <row r="288" ht="21.0" customHeight="1">
      <c r="A288" s="12"/>
      <c r="B288" s="108"/>
      <c r="C288" s="108"/>
      <c r="D288" s="108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47"/>
      <c r="AW288" s="47"/>
      <c r="AX288" s="47"/>
      <c r="AY288" s="47"/>
      <c r="AZ288" s="47"/>
      <c r="BA288" s="47"/>
      <c r="BB288" s="47"/>
      <c r="BC288" s="47"/>
      <c r="BD288" s="47"/>
      <c r="BE288" s="47"/>
      <c r="BF288" s="47"/>
      <c r="BG288" s="47"/>
      <c r="BH288" s="47"/>
      <c r="BI288" s="47"/>
      <c r="BJ288" s="47"/>
      <c r="BK288" s="47"/>
      <c r="BL288" s="47"/>
      <c r="BM288" s="47"/>
      <c r="BN288" s="47"/>
      <c r="BO288" s="47"/>
      <c r="BP288" s="47"/>
      <c r="BQ288" s="47"/>
      <c r="BR288" s="47"/>
      <c r="BS288" s="47"/>
      <c r="BT288" s="47"/>
      <c r="BU288" s="47"/>
      <c r="BV288" s="47"/>
      <c r="BW288" s="47"/>
      <c r="BX288" s="47"/>
      <c r="BY288" s="47"/>
      <c r="BZ288" s="47"/>
      <c r="CA288" s="47"/>
      <c r="CB288" s="47"/>
      <c r="CC288" s="47"/>
    </row>
    <row r="289" ht="21.0" customHeight="1">
      <c r="A289" s="12"/>
      <c r="B289" s="108"/>
      <c r="C289" s="108"/>
      <c r="D289" s="108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47"/>
      <c r="AW289" s="47"/>
      <c r="AX289" s="47"/>
      <c r="AY289" s="47"/>
      <c r="AZ289" s="47"/>
      <c r="BA289" s="47"/>
      <c r="BB289" s="47"/>
      <c r="BC289" s="47"/>
      <c r="BD289" s="47"/>
      <c r="BE289" s="47"/>
      <c r="BF289" s="47"/>
      <c r="BG289" s="47"/>
      <c r="BH289" s="47"/>
      <c r="BI289" s="47"/>
      <c r="BJ289" s="47"/>
      <c r="BK289" s="47"/>
      <c r="BL289" s="47"/>
      <c r="BM289" s="47"/>
      <c r="BN289" s="47"/>
      <c r="BO289" s="47"/>
      <c r="BP289" s="47"/>
      <c r="BQ289" s="47"/>
      <c r="BR289" s="47"/>
      <c r="BS289" s="47"/>
      <c r="BT289" s="47"/>
      <c r="BU289" s="47"/>
      <c r="BV289" s="47"/>
      <c r="BW289" s="47"/>
      <c r="BX289" s="47"/>
      <c r="BY289" s="47"/>
      <c r="BZ289" s="47"/>
      <c r="CA289" s="47"/>
      <c r="CB289" s="47"/>
      <c r="CC289" s="47"/>
    </row>
    <row r="290" ht="21.0" customHeight="1">
      <c r="A290" s="12"/>
      <c r="B290" s="108"/>
      <c r="C290" s="108"/>
      <c r="D290" s="108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  <c r="AG290" s="47"/>
      <c r="AH290" s="47"/>
      <c r="AI290" s="47"/>
      <c r="AJ290" s="47"/>
      <c r="AK290" s="47"/>
      <c r="AL290" s="47"/>
      <c r="AM290" s="47"/>
      <c r="AN290" s="47"/>
      <c r="AO290" s="47"/>
      <c r="AP290" s="47"/>
      <c r="AQ290" s="47"/>
      <c r="AR290" s="47"/>
      <c r="AS290" s="47"/>
      <c r="AT290" s="47"/>
      <c r="AU290" s="47"/>
      <c r="AV290" s="47"/>
      <c r="AW290" s="47"/>
      <c r="AX290" s="47"/>
      <c r="AY290" s="47"/>
      <c r="AZ290" s="47"/>
      <c r="BA290" s="47"/>
      <c r="BB290" s="47"/>
      <c r="BC290" s="47"/>
      <c r="BD290" s="47"/>
      <c r="BE290" s="47"/>
      <c r="BF290" s="47"/>
      <c r="BG290" s="47"/>
      <c r="BH290" s="47"/>
      <c r="BI290" s="47"/>
      <c r="BJ290" s="47"/>
      <c r="BK290" s="47"/>
      <c r="BL290" s="47"/>
      <c r="BM290" s="47"/>
      <c r="BN290" s="47"/>
      <c r="BO290" s="47"/>
      <c r="BP290" s="47"/>
      <c r="BQ290" s="47"/>
      <c r="BR290" s="47"/>
      <c r="BS290" s="47"/>
      <c r="BT290" s="47"/>
      <c r="BU290" s="47"/>
      <c r="BV290" s="47"/>
      <c r="BW290" s="47"/>
      <c r="BX290" s="47"/>
      <c r="BY290" s="47"/>
      <c r="BZ290" s="47"/>
      <c r="CA290" s="47"/>
      <c r="CB290" s="47"/>
      <c r="CC290" s="47"/>
    </row>
    <row r="291" ht="21.0" customHeight="1">
      <c r="A291" s="12"/>
      <c r="B291" s="108"/>
      <c r="C291" s="108"/>
      <c r="D291" s="107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</row>
    <row r="292" ht="21.0" customHeight="1">
      <c r="A292" s="12"/>
      <c r="B292" s="108"/>
      <c r="C292" s="108"/>
      <c r="D292" s="107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</row>
    <row r="293" ht="21.0" customHeight="1">
      <c r="A293" s="12"/>
      <c r="B293" s="108"/>
      <c r="C293" s="108"/>
      <c r="D293" s="107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</row>
    <row r="294" ht="21.0" customHeight="1">
      <c r="A294" s="12"/>
      <c r="B294" s="108"/>
      <c r="C294" s="108"/>
      <c r="D294" s="107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</row>
    <row r="295" ht="21.0" customHeight="1">
      <c r="A295" s="12"/>
      <c r="B295" s="108"/>
      <c r="C295" s="108"/>
      <c r="D295" s="108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  <c r="BX295" s="44"/>
      <c r="BY295" s="44"/>
      <c r="BZ295" s="44"/>
      <c r="CA295" s="44"/>
      <c r="CB295" s="44"/>
      <c r="CC295" s="44"/>
    </row>
    <row r="296" ht="21.0" customHeight="1">
      <c r="A296" s="12"/>
      <c r="B296" s="108"/>
      <c r="C296" s="108"/>
      <c r="D296" s="108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  <c r="BX296" s="44"/>
      <c r="BY296" s="44"/>
      <c r="BZ296" s="44"/>
      <c r="CA296" s="44"/>
      <c r="CB296" s="44"/>
      <c r="CC296" s="44"/>
    </row>
    <row r="297" ht="21.0" customHeight="1">
      <c r="A297" s="12"/>
      <c r="B297" s="107"/>
      <c r="C297" s="107"/>
      <c r="D297" s="108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  <c r="BX297" s="44"/>
      <c r="BY297" s="44"/>
      <c r="BZ297" s="44"/>
      <c r="CA297" s="44"/>
      <c r="CB297" s="44"/>
      <c r="CC297" s="44"/>
    </row>
    <row r="298" ht="21.0" customHeight="1">
      <c r="A298" s="12"/>
      <c r="B298" s="108"/>
      <c r="C298" s="108"/>
      <c r="D298" s="108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  <c r="BX298" s="44"/>
      <c r="BY298" s="44"/>
      <c r="BZ298" s="44"/>
      <c r="CA298" s="44"/>
      <c r="CB298" s="44"/>
      <c r="CC298" s="44"/>
    </row>
    <row r="299" ht="21.0" customHeight="1">
      <c r="A299" s="12"/>
      <c r="B299" s="108"/>
      <c r="C299" s="108"/>
      <c r="D299" s="108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  <c r="BX299" s="44"/>
      <c r="BY299" s="44"/>
      <c r="BZ299" s="44"/>
      <c r="CA299" s="44"/>
      <c r="CB299" s="44"/>
      <c r="CC299" s="44"/>
    </row>
    <row r="300" ht="21.0" customHeight="1">
      <c r="A300" s="12"/>
      <c r="B300" s="108"/>
      <c r="C300" s="108"/>
      <c r="D300" s="108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  <c r="BU300" s="44"/>
      <c r="BV300" s="44"/>
      <c r="BW300" s="44"/>
      <c r="BX300" s="44"/>
      <c r="BY300" s="44"/>
      <c r="BZ300" s="44"/>
      <c r="CA300" s="44"/>
      <c r="CB300" s="44"/>
      <c r="CC300" s="44"/>
    </row>
    <row r="301" ht="21.0" customHeight="1">
      <c r="A301" s="12"/>
      <c r="B301" s="108"/>
      <c r="C301" s="108"/>
      <c r="D301" s="108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  <c r="BU301" s="44"/>
      <c r="BV301" s="44"/>
      <c r="BW301" s="44"/>
      <c r="BX301" s="44"/>
      <c r="BY301" s="44"/>
      <c r="BZ301" s="44"/>
      <c r="CA301" s="44"/>
      <c r="CB301" s="44"/>
      <c r="CC301" s="44"/>
    </row>
    <row r="302" ht="21.0" customHeight="1">
      <c r="A302" s="12"/>
      <c r="B302" s="108"/>
      <c r="C302" s="108"/>
      <c r="D302" s="108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  <c r="BU302" s="44"/>
      <c r="BV302" s="44"/>
      <c r="BW302" s="44"/>
      <c r="BX302" s="44"/>
      <c r="BY302" s="44"/>
      <c r="BZ302" s="44"/>
      <c r="CA302" s="44"/>
      <c r="CB302" s="44"/>
      <c r="CC302" s="44"/>
    </row>
    <row r="303" ht="21.0" customHeight="1">
      <c r="A303" s="12"/>
      <c r="B303" s="107"/>
      <c r="C303" s="107"/>
      <c r="D303" s="108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  <c r="BU303" s="44"/>
      <c r="BV303" s="44"/>
      <c r="BW303" s="44"/>
      <c r="BX303" s="44"/>
      <c r="BY303" s="44"/>
      <c r="BZ303" s="44"/>
      <c r="CA303" s="44"/>
      <c r="CB303" s="44"/>
      <c r="CC303" s="44"/>
    </row>
    <row r="304" ht="21.0" customHeight="1">
      <c r="A304" s="12"/>
      <c r="B304" s="108"/>
      <c r="C304" s="108"/>
      <c r="D304" s="108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  <c r="BU304" s="44"/>
      <c r="BV304" s="44"/>
      <c r="BW304" s="44"/>
      <c r="BX304" s="44"/>
      <c r="BY304" s="44"/>
      <c r="BZ304" s="44"/>
      <c r="CA304" s="44"/>
      <c r="CB304" s="44"/>
      <c r="CC304" s="44"/>
    </row>
    <row r="305" ht="21.0" customHeight="1">
      <c r="A305" s="12"/>
      <c r="B305" s="108"/>
      <c r="C305" s="108"/>
      <c r="D305" s="108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  <c r="BU305" s="44"/>
      <c r="BV305" s="44"/>
      <c r="BW305" s="44"/>
      <c r="BX305" s="44"/>
      <c r="BY305" s="44"/>
      <c r="BZ305" s="44"/>
      <c r="CA305" s="44"/>
      <c r="CB305" s="44"/>
      <c r="CC305" s="44"/>
    </row>
    <row r="306" ht="21.0" customHeight="1">
      <c r="A306" s="12"/>
      <c r="B306" s="107"/>
      <c r="C306" s="107"/>
      <c r="D306" s="108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  <c r="BX306" s="44"/>
      <c r="BY306" s="44"/>
      <c r="BZ306" s="44"/>
      <c r="CA306" s="44"/>
      <c r="CB306" s="44"/>
      <c r="CC306" s="44"/>
    </row>
    <row r="307" ht="21.0" customHeight="1">
      <c r="A307" s="12"/>
      <c r="B307" s="108"/>
      <c r="C307" s="108"/>
      <c r="D307" s="108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  <c r="BX307" s="44"/>
      <c r="BY307" s="44"/>
      <c r="BZ307" s="44"/>
      <c r="CA307" s="44"/>
      <c r="CB307" s="44"/>
      <c r="CC307" s="44"/>
    </row>
    <row r="308" ht="21.0" customHeight="1">
      <c r="A308" s="12"/>
      <c r="B308" s="108"/>
      <c r="C308" s="108"/>
      <c r="D308" s="108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  <c r="BX308" s="44"/>
      <c r="BY308" s="44"/>
      <c r="BZ308" s="44"/>
      <c r="CA308" s="44"/>
      <c r="CB308" s="44"/>
      <c r="CC308" s="44"/>
    </row>
    <row r="309" ht="21.0" customHeight="1">
      <c r="A309" s="12"/>
      <c r="B309" s="108"/>
      <c r="C309" s="108"/>
      <c r="D309" s="108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  <c r="BX309" s="44"/>
      <c r="BY309" s="44"/>
      <c r="BZ309" s="44"/>
      <c r="CA309" s="44"/>
      <c r="CB309" s="44"/>
      <c r="CC309" s="44"/>
    </row>
    <row r="310" ht="21.0" customHeight="1">
      <c r="A310" s="12"/>
      <c r="B310" s="107"/>
      <c r="C310" s="107"/>
      <c r="D310" s="108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  <c r="BX310" s="44"/>
      <c r="BY310" s="44"/>
      <c r="BZ310" s="44"/>
      <c r="CA310" s="44"/>
      <c r="CB310" s="44"/>
      <c r="CC310" s="44"/>
    </row>
    <row r="311" ht="21.0" customHeight="1">
      <c r="A311" s="12"/>
      <c r="B311" s="108"/>
      <c r="C311" s="108"/>
      <c r="D311" s="108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  <c r="BX311" s="44"/>
      <c r="BY311" s="44"/>
      <c r="BZ311" s="44"/>
      <c r="CA311" s="44"/>
      <c r="CB311" s="44"/>
      <c r="CC311" s="44"/>
    </row>
    <row r="312" ht="21.0" customHeight="1">
      <c r="A312" s="12"/>
      <c r="B312" s="108"/>
      <c r="C312" s="108"/>
      <c r="D312" s="108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  <c r="BX312" s="44"/>
      <c r="BY312" s="44"/>
      <c r="BZ312" s="44"/>
      <c r="CA312" s="44"/>
      <c r="CB312" s="44"/>
      <c r="CC312" s="44"/>
    </row>
    <row r="313" ht="21.0" customHeight="1">
      <c r="A313" s="12"/>
      <c r="B313" s="108"/>
      <c r="C313" s="108"/>
      <c r="D313" s="108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  <c r="BX313" s="44"/>
      <c r="BY313" s="44"/>
      <c r="BZ313" s="44"/>
      <c r="CA313" s="44"/>
      <c r="CB313" s="44"/>
      <c r="CC313" s="44"/>
    </row>
    <row r="314" ht="21.0" customHeight="1">
      <c r="A314" s="12"/>
      <c r="B314" s="107"/>
      <c r="C314" s="107"/>
      <c r="D314" s="108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  <c r="BX314" s="44"/>
      <c r="BY314" s="44"/>
      <c r="BZ314" s="44"/>
      <c r="CA314" s="44"/>
      <c r="CB314" s="44"/>
      <c r="CC314" s="44"/>
    </row>
    <row r="315" ht="21.0" customHeight="1">
      <c r="A315" s="12"/>
      <c r="B315" s="108"/>
      <c r="C315" s="108"/>
      <c r="D315" s="108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  <c r="BX315" s="44"/>
      <c r="BY315" s="44"/>
      <c r="BZ315" s="44"/>
      <c r="CA315" s="44"/>
      <c r="CB315" s="44"/>
      <c r="CC315" s="44"/>
    </row>
    <row r="316" ht="21.0" customHeight="1">
      <c r="A316" s="12"/>
      <c r="B316" s="108"/>
      <c r="C316" s="108"/>
      <c r="D316" s="108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  <c r="BX316" s="44"/>
      <c r="BY316" s="44"/>
      <c r="BZ316" s="44"/>
      <c r="CA316" s="44"/>
      <c r="CB316" s="44"/>
      <c r="CC316" s="44"/>
    </row>
    <row r="317" ht="21.0" customHeight="1">
      <c r="A317" s="12"/>
      <c r="B317" s="108"/>
      <c r="C317" s="108"/>
      <c r="D317" s="108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  <c r="BX317" s="44"/>
      <c r="BY317" s="44"/>
      <c r="BZ317" s="44"/>
      <c r="CA317" s="44"/>
      <c r="CB317" s="44"/>
      <c r="CC317" s="44"/>
    </row>
    <row r="318" ht="21.0" customHeight="1">
      <c r="A318" s="12"/>
      <c r="B318" s="108"/>
      <c r="C318" s="108"/>
      <c r="D318" s="108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  <c r="BX318" s="44"/>
      <c r="BY318" s="44"/>
      <c r="BZ318" s="44"/>
      <c r="CA318" s="44"/>
      <c r="CB318" s="44"/>
      <c r="CC318" s="44"/>
    </row>
    <row r="319" ht="21.0" customHeight="1">
      <c r="A319" s="12"/>
      <c r="B319" s="108"/>
      <c r="C319" s="108"/>
      <c r="D319" s="108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  <c r="BX319" s="44"/>
      <c r="BY319" s="44"/>
      <c r="BZ319" s="44"/>
      <c r="CA319" s="44"/>
      <c r="CB319" s="44"/>
      <c r="CC319" s="44"/>
    </row>
    <row r="320" ht="21.0" customHeight="1">
      <c r="A320" s="12"/>
      <c r="B320" s="108"/>
      <c r="C320" s="108"/>
      <c r="D320" s="108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  <c r="BX320" s="44"/>
      <c r="BY320" s="44"/>
      <c r="BZ320" s="44"/>
      <c r="CA320" s="44"/>
      <c r="CB320" s="44"/>
      <c r="CC320" s="44"/>
    </row>
    <row r="321" ht="21.0" customHeight="1">
      <c r="A321" s="12"/>
      <c r="B321" s="108"/>
      <c r="C321" s="108"/>
      <c r="D321" s="108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  <c r="BX321" s="44"/>
      <c r="BY321" s="44"/>
      <c r="BZ321" s="44"/>
      <c r="CA321" s="44"/>
      <c r="CB321" s="44"/>
      <c r="CC321" s="44"/>
    </row>
    <row r="322" ht="21.0" customHeight="1">
      <c r="A322" s="12"/>
      <c r="B322" s="108"/>
      <c r="C322" s="108"/>
      <c r="D322" s="108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  <c r="BX322" s="44"/>
      <c r="BY322" s="44"/>
      <c r="BZ322" s="44"/>
      <c r="CA322" s="44"/>
      <c r="CB322" s="44"/>
      <c r="CC322" s="44"/>
    </row>
    <row r="323" ht="21.0" customHeight="1">
      <c r="A323" s="12"/>
      <c r="B323" s="108"/>
      <c r="C323" s="108"/>
      <c r="D323" s="108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  <c r="BX323" s="44"/>
      <c r="BY323" s="44"/>
      <c r="BZ323" s="44"/>
      <c r="CA323" s="44"/>
      <c r="CB323" s="44"/>
      <c r="CC323" s="44"/>
    </row>
    <row r="324" ht="21.0" customHeight="1">
      <c r="A324" s="12"/>
      <c r="B324" s="108"/>
      <c r="C324" s="108"/>
      <c r="D324" s="108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  <c r="BX324" s="44"/>
      <c r="BY324" s="44"/>
      <c r="BZ324" s="44"/>
      <c r="CA324" s="44"/>
      <c r="CB324" s="44"/>
      <c r="CC324" s="44"/>
    </row>
    <row r="325" ht="21.0" customHeight="1">
      <c r="A325" s="12"/>
      <c r="B325" s="108"/>
      <c r="C325" s="108"/>
      <c r="D325" s="108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  <c r="BX325" s="44"/>
      <c r="BY325" s="44"/>
      <c r="BZ325" s="44"/>
      <c r="CA325" s="44"/>
      <c r="CB325" s="44"/>
      <c r="CC325" s="44"/>
    </row>
    <row r="326" ht="21.0" customHeight="1">
      <c r="A326" s="12"/>
      <c r="B326" s="108"/>
      <c r="C326" s="108"/>
      <c r="D326" s="108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  <c r="BX326" s="44"/>
      <c r="BY326" s="44"/>
      <c r="BZ326" s="44"/>
      <c r="CA326" s="44"/>
      <c r="CB326" s="44"/>
      <c r="CC326" s="44"/>
    </row>
    <row r="327" ht="21.0" customHeight="1">
      <c r="A327" s="12"/>
      <c r="B327" s="108"/>
      <c r="C327" s="108"/>
      <c r="D327" s="108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  <c r="BX327" s="44"/>
      <c r="BY327" s="44"/>
      <c r="BZ327" s="44"/>
      <c r="CA327" s="44"/>
      <c r="CB327" s="44"/>
      <c r="CC327" s="44"/>
    </row>
    <row r="328" ht="21.0" customHeight="1">
      <c r="A328" s="12"/>
      <c r="B328" s="108"/>
      <c r="C328" s="108"/>
      <c r="D328" s="108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4"/>
      <c r="CB328" s="44"/>
      <c r="CC328" s="44"/>
    </row>
    <row r="329" ht="21.0" customHeight="1">
      <c r="A329" s="12"/>
      <c r="B329" s="108"/>
      <c r="C329" s="108"/>
      <c r="D329" s="108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4"/>
      <c r="CB329" s="44"/>
      <c r="CC329" s="44"/>
    </row>
    <row r="330" ht="21.0" customHeight="1">
      <c r="A330" s="12"/>
      <c r="B330" s="108"/>
      <c r="C330" s="108"/>
      <c r="D330" s="108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4"/>
      <c r="CB330" s="44"/>
      <c r="CC330" s="44"/>
    </row>
    <row r="331" ht="21.0" customHeight="1">
      <c r="A331" s="12"/>
      <c r="B331" s="108"/>
      <c r="C331" s="108"/>
      <c r="D331" s="108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4"/>
      <c r="CB331" s="44"/>
      <c r="CC331" s="44"/>
    </row>
    <row r="332" ht="21.0" customHeight="1">
      <c r="A332" s="12"/>
      <c r="B332" s="108"/>
      <c r="C332" s="108"/>
      <c r="D332" s="108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4"/>
      <c r="CB332" s="44"/>
      <c r="CC332" s="44"/>
    </row>
    <row r="333" ht="21.0" customHeight="1">
      <c r="A333" s="12"/>
      <c r="B333" s="108"/>
      <c r="C333" s="108"/>
      <c r="D333" s="108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  <c r="BX333" s="44"/>
      <c r="BY333" s="44"/>
      <c r="BZ333" s="44"/>
      <c r="CA333" s="44"/>
      <c r="CB333" s="44"/>
      <c r="CC333" s="44"/>
    </row>
    <row r="334" ht="21.0" customHeight="1">
      <c r="A334" s="12"/>
      <c r="B334" s="108"/>
      <c r="C334" s="108"/>
      <c r="D334" s="108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  <c r="BU334" s="44"/>
      <c r="BV334" s="44"/>
      <c r="BW334" s="44"/>
      <c r="BX334" s="44"/>
      <c r="BY334" s="44"/>
      <c r="BZ334" s="44"/>
      <c r="CA334" s="44"/>
      <c r="CB334" s="44"/>
      <c r="CC334" s="44"/>
    </row>
    <row r="335" ht="21.0" customHeight="1">
      <c r="A335" s="12"/>
      <c r="B335" s="108"/>
      <c r="C335" s="108"/>
      <c r="D335" s="108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  <c r="BU335" s="44"/>
      <c r="BV335" s="44"/>
      <c r="BW335" s="44"/>
      <c r="BX335" s="44"/>
      <c r="BY335" s="44"/>
      <c r="BZ335" s="44"/>
      <c r="CA335" s="44"/>
      <c r="CB335" s="44"/>
      <c r="CC335" s="44"/>
    </row>
    <row r="336" ht="21.0" customHeight="1">
      <c r="A336" s="12"/>
      <c r="B336" s="108"/>
      <c r="C336" s="108"/>
      <c r="D336" s="108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  <c r="BU336" s="44"/>
      <c r="BV336" s="44"/>
      <c r="BW336" s="44"/>
      <c r="BX336" s="44"/>
      <c r="BY336" s="44"/>
      <c r="BZ336" s="44"/>
      <c r="CA336" s="44"/>
      <c r="CB336" s="44"/>
      <c r="CC336" s="44"/>
    </row>
    <row r="337" ht="21.0" customHeight="1">
      <c r="A337" s="12"/>
      <c r="B337" s="108"/>
      <c r="C337" s="108"/>
      <c r="D337" s="108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  <c r="BU337" s="44"/>
      <c r="BV337" s="44"/>
      <c r="BW337" s="44"/>
      <c r="BX337" s="44"/>
      <c r="BY337" s="44"/>
      <c r="BZ337" s="44"/>
      <c r="CA337" s="44"/>
      <c r="CB337" s="44"/>
      <c r="CC337" s="44"/>
    </row>
    <row r="338" ht="21.0" customHeight="1">
      <c r="A338" s="12"/>
      <c r="B338" s="108"/>
      <c r="C338" s="108"/>
      <c r="D338" s="108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  <c r="BU338" s="44"/>
      <c r="BV338" s="44"/>
      <c r="BW338" s="44"/>
      <c r="BX338" s="44"/>
      <c r="BY338" s="44"/>
      <c r="BZ338" s="44"/>
      <c r="CA338" s="44"/>
      <c r="CB338" s="44"/>
      <c r="CC338" s="44"/>
    </row>
    <row r="339" ht="21.0" customHeight="1">
      <c r="A339" s="12"/>
      <c r="B339" s="108"/>
      <c r="C339" s="108"/>
      <c r="D339" s="108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  <c r="BU339" s="44"/>
      <c r="BV339" s="44"/>
      <c r="BW339" s="44"/>
      <c r="BX339" s="44"/>
      <c r="BY339" s="44"/>
      <c r="BZ339" s="44"/>
      <c r="CA339" s="44"/>
      <c r="CB339" s="44"/>
      <c r="CC339" s="44"/>
    </row>
    <row r="340" ht="21.0" customHeight="1">
      <c r="A340" s="12"/>
      <c r="B340" s="108"/>
      <c r="C340" s="108"/>
      <c r="D340" s="108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  <c r="BU340" s="44"/>
      <c r="BV340" s="44"/>
      <c r="BW340" s="44"/>
      <c r="BX340" s="44"/>
      <c r="BY340" s="44"/>
      <c r="BZ340" s="44"/>
      <c r="CA340" s="44"/>
      <c r="CB340" s="44"/>
      <c r="CC340" s="44"/>
    </row>
    <row r="341" ht="21.0" customHeight="1">
      <c r="A341" s="12"/>
      <c r="B341" s="108"/>
      <c r="C341" s="108"/>
      <c r="D341" s="108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  <c r="BU341" s="44"/>
      <c r="BV341" s="44"/>
      <c r="BW341" s="44"/>
      <c r="BX341" s="44"/>
      <c r="BY341" s="44"/>
      <c r="BZ341" s="44"/>
      <c r="CA341" s="44"/>
      <c r="CB341" s="44"/>
      <c r="CC341" s="44"/>
    </row>
    <row r="342" ht="21.0" customHeight="1">
      <c r="A342" s="12"/>
      <c r="B342" s="108"/>
      <c r="C342" s="108"/>
      <c r="D342" s="108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  <c r="BU342" s="44"/>
      <c r="BV342" s="44"/>
      <c r="BW342" s="44"/>
      <c r="BX342" s="44"/>
      <c r="BY342" s="44"/>
      <c r="BZ342" s="44"/>
      <c r="CA342" s="44"/>
      <c r="CB342" s="44"/>
      <c r="CC342" s="44"/>
    </row>
    <row r="343" ht="21.0" customHeight="1">
      <c r="A343" s="12"/>
      <c r="B343" s="108"/>
      <c r="C343" s="108"/>
      <c r="D343" s="108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  <c r="BU343" s="44"/>
      <c r="BV343" s="44"/>
      <c r="BW343" s="44"/>
      <c r="BX343" s="44"/>
      <c r="BY343" s="44"/>
      <c r="BZ343" s="44"/>
      <c r="CA343" s="44"/>
      <c r="CB343" s="44"/>
      <c r="CC343" s="44"/>
    </row>
    <row r="344" ht="21.0" customHeight="1">
      <c r="A344" s="12"/>
      <c r="B344" s="108"/>
      <c r="C344" s="108"/>
      <c r="D344" s="108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  <c r="BU344" s="44"/>
      <c r="BV344" s="44"/>
      <c r="BW344" s="44"/>
      <c r="BX344" s="44"/>
      <c r="BY344" s="44"/>
      <c r="BZ344" s="44"/>
      <c r="CA344" s="44"/>
      <c r="CB344" s="44"/>
      <c r="CC344" s="44"/>
    </row>
    <row r="345" ht="21.0" customHeight="1">
      <c r="A345" s="12"/>
      <c r="B345" s="108"/>
      <c r="C345" s="108"/>
      <c r="D345" s="108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  <c r="BU345" s="44"/>
      <c r="BV345" s="44"/>
      <c r="BW345" s="44"/>
      <c r="BX345" s="44"/>
      <c r="BY345" s="44"/>
      <c r="BZ345" s="44"/>
      <c r="CA345" s="44"/>
      <c r="CB345" s="44"/>
      <c r="CC345" s="44"/>
    </row>
    <row r="346" ht="21.0" customHeight="1">
      <c r="A346" s="12"/>
      <c r="B346" s="108"/>
      <c r="C346" s="108"/>
      <c r="D346" s="108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  <c r="BU346" s="44"/>
      <c r="BV346" s="44"/>
      <c r="BW346" s="44"/>
      <c r="BX346" s="44"/>
      <c r="BY346" s="44"/>
      <c r="BZ346" s="44"/>
      <c r="CA346" s="44"/>
      <c r="CB346" s="44"/>
      <c r="CC346" s="44"/>
    </row>
    <row r="347" ht="21.0" customHeight="1">
      <c r="A347" s="12"/>
      <c r="B347" s="108"/>
      <c r="C347" s="108"/>
      <c r="D347" s="108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  <c r="BU347" s="44"/>
      <c r="BV347" s="44"/>
      <c r="BW347" s="44"/>
      <c r="BX347" s="44"/>
      <c r="BY347" s="44"/>
      <c r="BZ347" s="44"/>
      <c r="CA347" s="44"/>
      <c r="CB347" s="44"/>
      <c r="CC347" s="44"/>
    </row>
    <row r="348" ht="21.0" customHeight="1">
      <c r="A348" s="12"/>
      <c r="B348" s="108"/>
      <c r="C348" s="108"/>
      <c r="D348" s="108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  <c r="BU348" s="44"/>
      <c r="BV348" s="44"/>
      <c r="BW348" s="44"/>
      <c r="BX348" s="44"/>
      <c r="BY348" s="44"/>
      <c r="BZ348" s="44"/>
      <c r="CA348" s="44"/>
      <c r="CB348" s="44"/>
      <c r="CC348" s="44"/>
    </row>
    <row r="349" ht="21.0" customHeight="1">
      <c r="A349" s="12"/>
      <c r="B349" s="108"/>
      <c r="C349" s="108"/>
      <c r="D349" s="108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  <c r="BU349" s="44"/>
      <c r="BV349" s="44"/>
      <c r="BW349" s="44"/>
      <c r="BX349" s="44"/>
      <c r="BY349" s="44"/>
      <c r="BZ349" s="44"/>
      <c r="CA349" s="44"/>
      <c r="CB349" s="44"/>
      <c r="CC349" s="44"/>
    </row>
    <row r="350" ht="21.0" customHeight="1">
      <c r="A350" s="12"/>
      <c r="B350" s="108"/>
      <c r="C350" s="108"/>
      <c r="D350" s="108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  <c r="BU350" s="44"/>
      <c r="BV350" s="44"/>
      <c r="BW350" s="44"/>
      <c r="BX350" s="44"/>
      <c r="BY350" s="44"/>
      <c r="BZ350" s="44"/>
      <c r="CA350" s="44"/>
      <c r="CB350" s="44"/>
      <c r="CC350" s="44"/>
    </row>
    <row r="351" ht="21.0" customHeight="1">
      <c r="A351" s="12"/>
      <c r="B351" s="108"/>
      <c r="C351" s="108"/>
      <c r="D351" s="108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  <c r="BU351" s="44"/>
      <c r="BV351" s="44"/>
      <c r="BW351" s="44"/>
      <c r="BX351" s="44"/>
      <c r="BY351" s="44"/>
      <c r="BZ351" s="44"/>
      <c r="CA351" s="44"/>
      <c r="CB351" s="44"/>
      <c r="CC351" s="44"/>
    </row>
    <row r="352" ht="21.0" customHeight="1">
      <c r="A352" s="12"/>
      <c r="B352" s="108"/>
      <c r="C352" s="108"/>
      <c r="D352" s="108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  <c r="BU352" s="44"/>
      <c r="BV352" s="44"/>
      <c r="BW352" s="44"/>
      <c r="BX352" s="44"/>
      <c r="BY352" s="44"/>
      <c r="BZ352" s="44"/>
      <c r="CA352" s="44"/>
      <c r="CB352" s="44"/>
      <c r="CC352" s="44"/>
    </row>
    <row r="353" ht="21.0" customHeight="1">
      <c r="A353" s="12"/>
      <c r="B353" s="108"/>
      <c r="C353" s="108"/>
      <c r="D353" s="108"/>
      <c r="E353" s="44"/>
      <c r="F353" s="44" t="s">
        <v>822</v>
      </c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  <c r="BU353" s="44"/>
      <c r="BV353" s="44"/>
      <c r="BW353" s="44"/>
      <c r="BX353" s="44"/>
      <c r="BY353" s="44"/>
      <c r="BZ353" s="44"/>
      <c r="CA353" s="44"/>
      <c r="CB353" s="44"/>
      <c r="CC353" s="44"/>
    </row>
    <row r="354" ht="21.0" customHeight="1">
      <c r="A354" s="12"/>
      <c r="B354" s="108"/>
      <c r="C354" s="108"/>
      <c r="D354" s="108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  <c r="BU354" s="44"/>
      <c r="BV354" s="44"/>
      <c r="BW354" s="44"/>
      <c r="BX354" s="44"/>
      <c r="BY354" s="44"/>
      <c r="BZ354" s="44"/>
      <c r="CA354" s="44"/>
      <c r="CB354" s="44"/>
      <c r="CC354" s="44"/>
    </row>
    <row r="355" ht="21.0" customHeight="1">
      <c r="A355" s="12"/>
      <c r="B355" s="108"/>
      <c r="C355" s="108"/>
      <c r="D355" s="108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  <c r="BU355" s="44"/>
      <c r="BV355" s="44"/>
      <c r="BW355" s="44"/>
      <c r="BX355" s="44"/>
      <c r="BY355" s="44"/>
      <c r="BZ355" s="44"/>
      <c r="CA355" s="44"/>
      <c r="CB355" s="44"/>
      <c r="CC355" s="44"/>
    </row>
    <row r="356" ht="21.0" customHeight="1">
      <c r="A356" s="12"/>
      <c r="B356" s="108"/>
      <c r="C356" s="108"/>
      <c r="D356" s="108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  <c r="BU356" s="44"/>
      <c r="BV356" s="44"/>
      <c r="BW356" s="44"/>
      <c r="BX356" s="44"/>
      <c r="BY356" s="44"/>
      <c r="BZ356" s="44"/>
      <c r="CA356" s="44"/>
      <c r="CB356" s="44"/>
      <c r="CC356" s="44"/>
    </row>
    <row r="357" ht="21.0" customHeight="1">
      <c r="A357" s="12"/>
      <c r="B357" s="108"/>
      <c r="C357" s="108"/>
      <c r="D357" s="108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  <c r="BU357" s="44"/>
      <c r="BV357" s="44"/>
      <c r="BW357" s="44"/>
      <c r="BX357" s="44"/>
      <c r="BY357" s="44"/>
      <c r="BZ357" s="44"/>
      <c r="CA357" s="44"/>
      <c r="CB357" s="44"/>
      <c r="CC357" s="44"/>
    </row>
    <row r="358" ht="21.0" customHeight="1">
      <c r="A358" s="12"/>
      <c r="B358" s="108"/>
      <c r="C358" s="108"/>
      <c r="D358" s="108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  <c r="BU358" s="44"/>
      <c r="BV358" s="44"/>
      <c r="BW358" s="44"/>
      <c r="BX358" s="44"/>
      <c r="BY358" s="44"/>
      <c r="BZ358" s="44"/>
      <c r="CA358" s="44"/>
      <c r="CB358" s="44"/>
      <c r="CC358" s="44"/>
    </row>
    <row r="359" ht="21.0" customHeight="1">
      <c r="A359" s="12"/>
      <c r="B359" s="108"/>
      <c r="C359" s="108"/>
      <c r="D359" s="108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  <c r="AG359" s="47"/>
      <c r="AH359" s="47"/>
      <c r="AI359" s="47"/>
      <c r="AJ359" s="47"/>
      <c r="AK359" s="47"/>
      <c r="AL359" s="47"/>
      <c r="AM359" s="47"/>
      <c r="AN359" s="47"/>
      <c r="AO359" s="47"/>
      <c r="AP359" s="47"/>
      <c r="AQ359" s="47"/>
      <c r="AR359" s="47"/>
      <c r="AS359" s="47"/>
      <c r="AT359" s="47"/>
      <c r="AU359" s="47"/>
      <c r="AV359" s="47"/>
      <c r="AW359" s="47"/>
      <c r="AX359" s="47"/>
      <c r="AY359" s="47"/>
      <c r="AZ359" s="47"/>
      <c r="BA359" s="47"/>
      <c r="BB359" s="47"/>
      <c r="BC359" s="47"/>
      <c r="BD359" s="47"/>
      <c r="BE359" s="47"/>
      <c r="BF359" s="47"/>
      <c r="BG359" s="47"/>
      <c r="BH359" s="47"/>
      <c r="BI359" s="47"/>
      <c r="BJ359" s="47"/>
      <c r="BK359" s="47"/>
      <c r="BL359" s="47"/>
      <c r="BM359" s="47"/>
      <c r="BN359" s="47"/>
      <c r="BO359" s="47"/>
      <c r="BP359" s="47"/>
      <c r="BQ359" s="47"/>
      <c r="BR359" s="47"/>
      <c r="BS359" s="47"/>
      <c r="BT359" s="47"/>
      <c r="BU359" s="47"/>
      <c r="BV359" s="47"/>
      <c r="BW359" s="47"/>
      <c r="BX359" s="47"/>
      <c r="BY359" s="47"/>
      <c r="BZ359" s="47"/>
      <c r="CA359" s="47"/>
      <c r="CB359" s="47"/>
      <c r="CC359" s="47"/>
    </row>
    <row r="360" ht="21.0" customHeight="1">
      <c r="A360" s="12"/>
      <c r="B360" s="108"/>
      <c r="C360" s="108"/>
      <c r="D360" s="108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  <c r="AG360" s="47"/>
      <c r="AH360" s="47"/>
      <c r="AI360" s="47"/>
      <c r="AJ360" s="47"/>
      <c r="AK360" s="47"/>
      <c r="AL360" s="47"/>
      <c r="AM360" s="47"/>
      <c r="AN360" s="47"/>
      <c r="AO360" s="47"/>
      <c r="AP360" s="47"/>
      <c r="AQ360" s="47"/>
      <c r="AR360" s="47"/>
      <c r="AS360" s="47"/>
      <c r="AT360" s="47"/>
      <c r="AU360" s="47"/>
      <c r="AV360" s="47"/>
      <c r="AW360" s="47"/>
      <c r="AX360" s="47"/>
      <c r="AY360" s="47"/>
      <c r="AZ360" s="47"/>
      <c r="BA360" s="47"/>
      <c r="BB360" s="47"/>
      <c r="BC360" s="47"/>
      <c r="BD360" s="47"/>
      <c r="BE360" s="47"/>
      <c r="BF360" s="47"/>
      <c r="BG360" s="47"/>
      <c r="BH360" s="47"/>
      <c r="BI360" s="47"/>
      <c r="BJ360" s="47"/>
      <c r="BK360" s="47"/>
      <c r="BL360" s="47"/>
      <c r="BM360" s="47"/>
      <c r="BN360" s="47"/>
      <c r="BO360" s="47"/>
      <c r="BP360" s="47"/>
      <c r="BQ360" s="47"/>
      <c r="BR360" s="47"/>
      <c r="BS360" s="47"/>
      <c r="BT360" s="47"/>
      <c r="BU360" s="47"/>
      <c r="BV360" s="47"/>
      <c r="BW360" s="47"/>
      <c r="BX360" s="47"/>
      <c r="BY360" s="47"/>
      <c r="BZ360" s="47"/>
      <c r="CA360" s="47"/>
      <c r="CB360" s="47"/>
      <c r="CC360" s="47"/>
    </row>
    <row r="361" ht="21.0" customHeight="1">
      <c r="A361" s="12"/>
      <c r="B361" s="107"/>
      <c r="C361" s="107"/>
      <c r="D361" s="107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</row>
    <row r="362" ht="21.0" customHeight="1">
      <c r="A362" s="12"/>
      <c r="B362" s="108"/>
      <c r="C362" s="108"/>
      <c r="D362" s="108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  <c r="BU362" s="44"/>
      <c r="BV362" s="44"/>
      <c r="BW362" s="44"/>
      <c r="BX362" s="44"/>
      <c r="BY362" s="44"/>
      <c r="BZ362" s="44"/>
      <c r="CA362" s="44"/>
      <c r="CB362" s="44"/>
      <c r="CC362" s="44"/>
    </row>
    <row r="363" ht="21.0" customHeight="1">
      <c r="A363" s="12"/>
      <c r="B363" s="108"/>
      <c r="C363" s="108"/>
      <c r="D363" s="108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  <c r="BU363" s="44"/>
      <c r="BV363" s="44"/>
      <c r="BW363" s="44"/>
      <c r="BX363" s="44"/>
      <c r="BY363" s="44"/>
      <c r="BZ363" s="44"/>
      <c r="CA363" s="44"/>
      <c r="CB363" s="44"/>
      <c r="CC363" s="44"/>
    </row>
    <row r="364" ht="21.0" customHeight="1">
      <c r="A364" s="12"/>
      <c r="B364" s="108"/>
      <c r="C364" s="108"/>
      <c r="D364" s="108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  <c r="AG364" s="47"/>
      <c r="AH364" s="47"/>
      <c r="AI364" s="47"/>
      <c r="AJ364" s="47"/>
      <c r="AK364" s="47"/>
      <c r="AL364" s="47"/>
      <c r="AM364" s="47"/>
      <c r="AN364" s="47"/>
      <c r="AO364" s="47"/>
      <c r="AP364" s="47"/>
      <c r="AQ364" s="47"/>
      <c r="AR364" s="47"/>
      <c r="AS364" s="47"/>
      <c r="AT364" s="47"/>
      <c r="AU364" s="47"/>
      <c r="AV364" s="47"/>
      <c r="AW364" s="47"/>
      <c r="AX364" s="47"/>
      <c r="AY364" s="47"/>
      <c r="AZ364" s="47"/>
      <c r="BA364" s="47"/>
      <c r="BB364" s="47"/>
      <c r="BC364" s="47"/>
      <c r="BD364" s="47"/>
      <c r="BE364" s="47"/>
      <c r="BF364" s="47"/>
      <c r="BG364" s="47"/>
      <c r="BH364" s="47"/>
      <c r="BI364" s="47"/>
      <c r="BJ364" s="47"/>
      <c r="BK364" s="47"/>
      <c r="BL364" s="47"/>
      <c r="BM364" s="47"/>
      <c r="BN364" s="47"/>
      <c r="BO364" s="47"/>
      <c r="BP364" s="47"/>
      <c r="BQ364" s="47"/>
      <c r="BR364" s="47"/>
      <c r="BS364" s="47"/>
      <c r="BT364" s="47"/>
      <c r="BU364" s="47"/>
      <c r="BV364" s="47"/>
      <c r="BW364" s="47"/>
      <c r="BX364" s="47"/>
      <c r="BY364" s="47"/>
      <c r="BZ364" s="47"/>
      <c r="CA364" s="47"/>
      <c r="CB364" s="47"/>
      <c r="CC364" s="47"/>
    </row>
    <row r="365" ht="21.0" customHeight="1">
      <c r="A365" s="12"/>
      <c r="B365" s="108"/>
      <c r="C365" s="108"/>
      <c r="D365" s="108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  <c r="AG365" s="47"/>
      <c r="AH365" s="47"/>
      <c r="AI365" s="47"/>
      <c r="AJ365" s="47"/>
      <c r="AK365" s="47"/>
      <c r="AL365" s="47"/>
      <c r="AM365" s="47"/>
      <c r="AN365" s="47"/>
      <c r="AO365" s="47"/>
      <c r="AP365" s="47"/>
      <c r="AQ365" s="47"/>
      <c r="AR365" s="47"/>
      <c r="AS365" s="47"/>
      <c r="AT365" s="47"/>
      <c r="AU365" s="47"/>
      <c r="AV365" s="47"/>
      <c r="AW365" s="47"/>
      <c r="AX365" s="47"/>
      <c r="AY365" s="47"/>
      <c r="AZ365" s="47"/>
      <c r="BA365" s="47"/>
      <c r="BB365" s="47"/>
      <c r="BC365" s="47"/>
      <c r="BD365" s="47"/>
      <c r="BE365" s="47"/>
      <c r="BF365" s="47"/>
      <c r="BG365" s="47"/>
      <c r="BH365" s="47"/>
      <c r="BI365" s="47"/>
      <c r="BJ365" s="47"/>
      <c r="BK365" s="47"/>
      <c r="BL365" s="47"/>
      <c r="BM365" s="47"/>
      <c r="BN365" s="47"/>
      <c r="BO365" s="47"/>
      <c r="BP365" s="47"/>
      <c r="BQ365" s="47"/>
      <c r="BR365" s="47"/>
      <c r="BS365" s="47"/>
      <c r="BT365" s="47"/>
      <c r="BU365" s="47"/>
      <c r="BV365" s="47"/>
      <c r="BW365" s="47"/>
      <c r="BX365" s="47"/>
      <c r="BY365" s="47"/>
      <c r="BZ365" s="47"/>
      <c r="CA365" s="47"/>
      <c r="CB365" s="47"/>
      <c r="CC365" s="47"/>
    </row>
    <row r="366" ht="21.0" customHeight="1">
      <c r="A366" s="12"/>
      <c r="B366" s="108"/>
      <c r="C366" s="108"/>
      <c r="D366" s="107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</row>
    <row r="367" ht="21.0" customHeight="1">
      <c r="A367" s="12"/>
      <c r="B367" s="108"/>
      <c r="C367" s="108"/>
      <c r="D367" s="108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  <c r="BU367" s="44"/>
      <c r="BV367" s="44"/>
      <c r="BW367" s="44"/>
      <c r="BX367" s="44"/>
      <c r="BY367" s="44"/>
      <c r="BZ367" s="44"/>
      <c r="CA367" s="44"/>
      <c r="CB367" s="44"/>
      <c r="CC367" s="44"/>
    </row>
    <row r="368" ht="21.0" customHeight="1">
      <c r="A368" s="12"/>
      <c r="B368" s="108"/>
      <c r="C368" s="108"/>
      <c r="D368" s="108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  <c r="BU368" s="44"/>
      <c r="BV368" s="44"/>
      <c r="BW368" s="44"/>
      <c r="BX368" s="44"/>
      <c r="BY368" s="44"/>
      <c r="BZ368" s="44"/>
      <c r="CA368" s="44"/>
      <c r="CB368" s="44"/>
      <c r="CC368" s="44"/>
    </row>
    <row r="369" ht="21.0" customHeight="1">
      <c r="A369" s="12"/>
      <c r="B369" s="108"/>
      <c r="C369" s="108"/>
      <c r="D369" s="108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  <c r="BU369" s="44"/>
      <c r="BV369" s="44"/>
      <c r="BW369" s="44"/>
      <c r="BX369" s="44"/>
      <c r="BY369" s="44"/>
      <c r="BZ369" s="44"/>
      <c r="CA369" s="44"/>
      <c r="CB369" s="44"/>
      <c r="CC369" s="44"/>
    </row>
    <row r="370" ht="21.0" customHeight="1">
      <c r="A370" s="12"/>
      <c r="B370" s="108"/>
      <c r="C370" s="108"/>
      <c r="D370" s="108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  <c r="BU370" s="44"/>
      <c r="BV370" s="44"/>
      <c r="BW370" s="44"/>
      <c r="BX370" s="44"/>
      <c r="BY370" s="44"/>
      <c r="BZ370" s="44"/>
      <c r="CA370" s="44"/>
      <c r="CB370" s="44"/>
      <c r="CC370" s="44"/>
    </row>
    <row r="371" ht="21.0" customHeight="1">
      <c r="A371" s="12"/>
      <c r="B371" s="108"/>
      <c r="C371" s="108"/>
      <c r="D371" s="108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  <c r="AG371" s="47"/>
      <c r="AH371" s="47"/>
      <c r="AI371" s="47"/>
      <c r="AJ371" s="47"/>
      <c r="AK371" s="47"/>
      <c r="AL371" s="47"/>
      <c r="AM371" s="47"/>
      <c r="AN371" s="47"/>
      <c r="AO371" s="47"/>
      <c r="AP371" s="47"/>
      <c r="AQ371" s="47"/>
      <c r="AR371" s="47"/>
      <c r="AS371" s="47"/>
      <c r="AT371" s="47"/>
      <c r="AU371" s="47"/>
      <c r="AV371" s="47"/>
      <c r="AW371" s="47"/>
      <c r="AX371" s="47"/>
      <c r="AY371" s="47"/>
      <c r="AZ371" s="47"/>
      <c r="BA371" s="47"/>
      <c r="BB371" s="47"/>
      <c r="BC371" s="47"/>
      <c r="BD371" s="47"/>
      <c r="BE371" s="47"/>
      <c r="BF371" s="47"/>
      <c r="BG371" s="47"/>
      <c r="BH371" s="47"/>
      <c r="BI371" s="47"/>
      <c r="BJ371" s="47"/>
      <c r="BK371" s="47"/>
      <c r="BL371" s="47"/>
      <c r="BM371" s="47"/>
      <c r="BN371" s="47"/>
      <c r="BO371" s="47"/>
      <c r="BP371" s="47"/>
      <c r="BQ371" s="47"/>
      <c r="BR371" s="47"/>
      <c r="BS371" s="47"/>
      <c r="BT371" s="47"/>
      <c r="BU371" s="47"/>
      <c r="BV371" s="47"/>
      <c r="BW371" s="47"/>
      <c r="BX371" s="47"/>
      <c r="BY371" s="47"/>
      <c r="BZ371" s="47"/>
      <c r="CA371" s="47"/>
      <c r="CB371" s="47"/>
      <c r="CC371" s="47"/>
    </row>
    <row r="372" ht="21.0" customHeight="1">
      <c r="A372" s="12"/>
      <c r="B372" s="108"/>
      <c r="C372" s="108"/>
      <c r="D372" s="108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  <c r="AJ372" s="47"/>
      <c r="AK372" s="47"/>
      <c r="AL372" s="47"/>
      <c r="AM372" s="47"/>
      <c r="AN372" s="47"/>
      <c r="AO372" s="47"/>
      <c r="AP372" s="47"/>
      <c r="AQ372" s="47"/>
      <c r="AR372" s="47"/>
      <c r="AS372" s="47"/>
      <c r="AT372" s="47"/>
      <c r="AU372" s="47"/>
      <c r="AV372" s="47"/>
      <c r="AW372" s="47"/>
      <c r="AX372" s="47"/>
      <c r="AY372" s="47"/>
      <c r="AZ372" s="47"/>
      <c r="BA372" s="47"/>
      <c r="BB372" s="47"/>
      <c r="BC372" s="47"/>
      <c r="BD372" s="47"/>
      <c r="BE372" s="47"/>
      <c r="BF372" s="47"/>
      <c r="BG372" s="47"/>
      <c r="BH372" s="47"/>
      <c r="BI372" s="47"/>
      <c r="BJ372" s="47"/>
      <c r="BK372" s="47"/>
      <c r="BL372" s="47"/>
      <c r="BM372" s="47"/>
      <c r="BN372" s="47"/>
      <c r="BO372" s="47"/>
      <c r="BP372" s="47"/>
      <c r="BQ372" s="47"/>
      <c r="BR372" s="47"/>
      <c r="BS372" s="47"/>
      <c r="BT372" s="47"/>
      <c r="BU372" s="47"/>
      <c r="BV372" s="47"/>
      <c r="BW372" s="47"/>
      <c r="BX372" s="47"/>
      <c r="BY372" s="47"/>
      <c r="BZ372" s="47"/>
      <c r="CA372" s="47"/>
      <c r="CB372" s="47"/>
      <c r="CC372" s="47"/>
    </row>
    <row r="373" ht="21.0" customHeight="1">
      <c r="A373" s="12"/>
      <c r="B373" s="108"/>
      <c r="C373" s="108"/>
      <c r="D373" s="108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  <c r="AJ373" s="47"/>
      <c r="AK373" s="47"/>
      <c r="AL373" s="47"/>
      <c r="AM373" s="47"/>
      <c r="AN373" s="47"/>
      <c r="AO373" s="47"/>
      <c r="AP373" s="47"/>
      <c r="AQ373" s="47"/>
      <c r="AR373" s="47"/>
      <c r="AS373" s="47"/>
      <c r="AT373" s="47"/>
      <c r="AU373" s="47"/>
      <c r="AV373" s="47"/>
      <c r="AW373" s="47"/>
      <c r="AX373" s="47"/>
      <c r="AY373" s="47"/>
      <c r="AZ373" s="47"/>
      <c r="BA373" s="47"/>
      <c r="BB373" s="47"/>
      <c r="BC373" s="47"/>
      <c r="BD373" s="47"/>
      <c r="BE373" s="47"/>
      <c r="BF373" s="47"/>
      <c r="BG373" s="47"/>
      <c r="BH373" s="47"/>
      <c r="BI373" s="47"/>
      <c r="BJ373" s="47"/>
      <c r="BK373" s="47"/>
      <c r="BL373" s="47"/>
      <c r="BM373" s="47"/>
      <c r="BN373" s="47"/>
      <c r="BO373" s="47"/>
      <c r="BP373" s="47"/>
      <c r="BQ373" s="47"/>
      <c r="BR373" s="47"/>
      <c r="BS373" s="47"/>
      <c r="BT373" s="47"/>
      <c r="BU373" s="47"/>
      <c r="BV373" s="47"/>
      <c r="BW373" s="47"/>
      <c r="BX373" s="47"/>
      <c r="BY373" s="47"/>
      <c r="BZ373" s="47"/>
      <c r="CA373" s="47"/>
      <c r="CB373" s="47"/>
      <c r="CC373" s="47"/>
    </row>
    <row r="374" ht="21.0" customHeight="1">
      <c r="A374" s="12"/>
      <c r="B374" s="107"/>
      <c r="C374" s="107"/>
      <c r="D374" s="108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  <c r="AJ374" s="47"/>
      <c r="AK374" s="47"/>
      <c r="AL374" s="47"/>
      <c r="AM374" s="47"/>
      <c r="AN374" s="47"/>
      <c r="AO374" s="47"/>
      <c r="AP374" s="47"/>
      <c r="AQ374" s="47"/>
      <c r="AR374" s="47"/>
      <c r="AS374" s="47"/>
      <c r="AT374" s="47"/>
      <c r="AU374" s="47"/>
      <c r="AV374" s="47"/>
      <c r="AW374" s="47"/>
      <c r="AX374" s="47"/>
      <c r="AY374" s="47"/>
      <c r="AZ374" s="47"/>
      <c r="BA374" s="47"/>
      <c r="BB374" s="47"/>
      <c r="BC374" s="47"/>
      <c r="BD374" s="47"/>
      <c r="BE374" s="47"/>
      <c r="BF374" s="47"/>
      <c r="BG374" s="47"/>
      <c r="BH374" s="47"/>
      <c r="BI374" s="47"/>
      <c r="BJ374" s="47"/>
      <c r="BK374" s="47"/>
      <c r="BL374" s="47"/>
      <c r="BM374" s="47"/>
      <c r="BN374" s="47"/>
      <c r="BO374" s="47"/>
      <c r="BP374" s="47"/>
      <c r="BQ374" s="47"/>
      <c r="BR374" s="47"/>
      <c r="BS374" s="47"/>
      <c r="BT374" s="47"/>
      <c r="BU374" s="47"/>
      <c r="BV374" s="47"/>
      <c r="BW374" s="47"/>
      <c r="BX374" s="47"/>
      <c r="BY374" s="47"/>
      <c r="BZ374" s="47"/>
      <c r="CA374" s="47"/>
      <c r="CB374" s="47"/>
      <c r="CC374" s="47"/>
    </row>
    <row r="375" ht="21.0" customHeight="1">
      <c r="A375" s="12"/>
      <c r="B375" s="108"/>
      <c r="C375" s="108"/>
      <c r="D375" s="108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  <c r="AJ375" s="47"/>
      <c r="AK375" s="47"/>
      <c r="AL375" s="47"/>
      <c r="AM375" s="47"/>
      <c r="AN375" s="47"/>
      <c r="AO375" s="47"/>
      <c r="AP375" s="47"/>
      <c r="AQ375" s="47"/>
      <c r="AR375" s="47"/>
      <c r="AS375" s="47"/>
      <c r="AT375" s="47"/>
      <c r="AU375" s="47"/>
      <c r="AV375" s="47"/>
      <c r="AW375" s="47"/>
      <c r="AX375" s="47"/>
      <c r="AY375" s="47"/>
      <c r="AZ375" s="47"/>
      <c r="BA375" s="47"/>
      <c r="BB375" s="47"/>
      <c r="BC375" s="47"/>
      <c r="BD375" s="47"/>
      <c r="BE375" s="47"/>
      <c r="BF375" s="47"/>
      <c r="BG375" s="47"/>
      <c r="BH375" s="47"/>
      <c r="BI375" s="47"/>
      <c r="BJ375" s="47"/>
      <c r="BK375" s="47"/>
      <c r="BL375" s="47"/>
      <c r="BM375" s="47"/>
      <c r="BN375" s="47"/>
      <c r="BO375" s="47"/>
      <c r="BP375" s="47"/>
      <c r="BQ375" s="47"/>
      <c r="BR375" s="47"/>
      <c r="BS375" s="47"/>
      <c r="BT375" s="47"/>
      <c r="BU375" s="47"/>
      <c r="BV375" s="47"/>
      <c r="BW375" s="47"/>
      <c r="BX375" s="47"/>
      <c r="BY375" s="47"/>
      <c r="BZ375" s="47"/>
      <c r="CA375" s="47"/>
      <c r="CB375" s="47"/>
      <c r="CC375" s="47"/>
    </row>
    <row r="376" ht="21.0" customHeight="1">
      <c r="A376" s="12"/>
      <c r="B376" s="108"/>
      <c r="C376" s="108"/>
      <c r="D376" s="108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  <c r="AG376" s="47"/>
      <c r="AH376" s="47"/>
      <c r="AI376" s="47"/>
      <c r="AJ376" s="47"/>
      <c r="AK376" s="47"/>
      <c r="AL376" s="47"/>
      <c r="AM376" s="47"/>
      <c r="AN376" s="47"/>
      <c r="AO376" s="47"/>
      <c r="AP376" s="47"/>
      <c r="AQ376" s="47"/>
      <c r="AR376" s="47"/>
      <c r="AS376" s="47"/>
      <c r="AT376" s="47"/>
      <c r="AU376" s="47"/>
      <c r="AV376" s="47"/>
      <c r="AW376" s="47"/>
      <c r="AX376" s="47"/>
      <c r="AY376" s="47"/>
      <c r="AZ376" s="47"/>
      <c r="BA376" s="47"/>
      <c r="BB376" s="47"/>
      <c r="BC376" s="47"/>
      <c r="BD376" s="47"/>
      <c r="BE376" s="47"/>
      <c r="BF376" s="47"/>
      <c r="BG376" s="47"/>
      <c r="BH376" s="47"/>
      <c r="BI376" s="47"/>
      <c r="BJ376" s="47"/>
      <c r="BK376" s="47"/>
      <c r="BL376" s="47"/>
      <c r="BM376" s="47"/>
      <c r="BN376" s="47"/>
      <c r="BO376" s="47"/>
      <c r="BP376" s="47"/>
      <c r="BQ376" s="47"/>
      <c r="BR376" s="47"/>
      <c r="BS376" s="47"/>
      <c r="BT376" s="47"/>
      <c r="BU376" s="47"/>
      <c r="BV376" s="47"/>
      <c r="BW376" s="47"/>
      <c r="BX376" s="47"/>
      <c r="BY376" s="47"/>
      <c r="BZ376" s="47"/>
      <c r="CA376" s="47"/>
      <c r="CB376" s="47"/>
      <c r="CC376" s="47"/>
    </row>
    <row r="377" ht="21.0" customHeight="1">
      <c r="A377" s="12"/>
      <c r="B377" s="108"/>
      <c r="C377" s="108"/>
      <c r="D377" s="108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  <c r="AG377" s="47"/>
      <c r="AH377" s="47"/>
      <c r="AI377" s="47"/>
      <c r="AJ377" s="47"/>
      <c r="AK377" s="47"/>
      <c r="AL377" s="47"/>
      <c r="AM377" s="47"/>
      <c r="AN377" s="47"/>
      <c r="AO377" s="47"/>
      <c r="AP377" s="47"/>
      <c r="AQ377" s="47"/>
      <c r="AR377" s="47"/>
      <c r="AS377" s="47"/>
      <c r="AT377" s="47"/>
      <c r="AU377" s="47"/>
      <c r="AV377" s="47"/>
      <c r="AW377" s="47"/>
      <c r="AX377" s="47"/>
      <c r="AY377" s="47"/>
      <c r="AZ377" s="47"/>
      <c r="BA377" s="47"/>
      <c r="BB377" s="47"/>
      <c r="BC377" s="47"/>
      <c r="BD377" s="47"/>
      <c r="BE377" s="47"/>
      <c r="BF377" s="47"/>
      <c r="BG377" s="47"/>
      <c r="BH377" s="47"/>
      <c r="BI377" s="47"/>
      <c r="BJ377" s="47"/>
      <c r="BK377" s="47"/>
      <c r="BL377" s="47"/>
      <c r="BM377" s="47"/>
      <c r="BN377" s="47"/>
      <c r="BO377" s="47"/>
      <c r="BP377" s="47"/>
      <c r="BQ377" s="47"/>
      <c r="BR377" s="47"/>
      <c r="BS377" s="47"/>
      <c r="BT377" s="47"/>
      <c r="BU377" s="47"/>
      <c r="BV377" s="47"/>
      <c r="BW377" s="47"/>
      <c r="BX377" s="47"/>
      <c r="BY377" s="47"/>
      <c r="BZ377" s="47"/>
      <c r="CA377" s="47"/>
      <c r="CB377" s="47"/>
      <c r="CC377" s="47"/>
    </row>
    <row r="378" ht="21.0" customHeight="1">
      <c r="A378" s="12"/>
      <c r="B378" s="108"/>
      <c r="C378" s="108"/>
      <c r="D378" s="112"/>
    </row>
    <row r="379" ht="21.0" customHeight="1">
      <c r="A379" s="12"/>
      <c r="B379" s="108"/>
      <c r="C379" s="108"/>
      <c r="D379" s="108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44"/>
      <c r="BP379" s="44"/>
      <c r="BQ379" s="44"/>
      <c r="BR379" s="44"/>
      <c r="BS379" s="44"/>
      <c r="BT379" s="44"/>
      <c r="BU379" s="44"/>
      <c r="BV379" s="44"/>
      <c r="BW379" s="44"/>
      <c r="BX379" s="44"/>
      <c r="BY379" s="44"/>
      <c r="BZ379" s="44"/>
      <c r="CA379" s="44"/>
      <c r="CB379" s="44"/>
      <c r="CC379" s="44"/>
    </row>
    <row r="380" ht="21.0" customHeight="1">
      <c r="A380" s="12"/>
      <c r="B380" s="108"/>
      <c r="C380" s="108"/>
      <c r="D380" s="108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44"/>
      <c r="BP380" s="44"/>
      <c r="BQ380" s="44"/>
      <c r="BR380" s="44"/>
      <c r="BS380" s="44"/>
      <c r="BT380" s="44"/>
      <c r="BU380" s="44"/>
      <c r="BV380" s="44"/>
      <c r="BW380" s="44"/>
      <c r="BX380" s="44"/>
      <c r="BY380" s="44"/>
      <c r="BZ380" s="44"/>
      <c r="CA380" s="44"/>
      <c r="CB380" s="44"/>
      <c r="CC380" s="44"/>
    </row>
    <row r="381" ht="21.0" customHeight="1">
      <c r="A381" s="12"/>
      <c r="B381" s="108"/>
      <c r="C381" s="108"/>
      <c r="D381" s="108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44"/>
      <c r="BP381" s="44"/>
      <c r="BQ381" s="44"/>
      <c r="BR381" s="44"/>
      <c r="BS381" s="44"/>
      <c r="BT381" s="44"/>
      <c r="BU381" s="44"/>
      <c r="BV381" s="44"/>
      <c r="BW381" s="44"/>
      <c r="BX381" s="44"/>
      <c r="BY381" s="44"/>
      <c r="BZ381" s="44"/>
      <c r="CA381" s="44"/>
      <c r="CB381" s="44"/>
      <c r="CC381" s="44"/>
    </row>
    <row r="382" ht="21.0" customHeight="1">
      <c r="A382" s="12"/>
      <c r="B382" s="108"/>
      <c r="C382" s="108"/>
      <c r="D382" s="108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44"/>
      <c r="BP382" s="44"/>
      <c r="BQ382" s="44"/>
      <c r="BR382" s="44"/>
      <c r="BS382" s="44"/>
      <c r="BT382" s="44"/>
      <c r="BU382" s="44"/>
      <c r="BV382" s="44"/>
      <c r="BW382" s="44"/>
      <c r="BX382" s="44"/>
      <c r="BY382" s="44"/>
      <c r="BZ382" s="44"/>
      <c r="CA382" s="44"/>
      <c r="CB382" s="44"/>
      <c r="CC382" s="44"/>
    </row>
    <row r="383" ht="21.0" customHeight="1">
      <c r="A383" s="12"/>
      <c r="B383" s="108"/>
      <c r="C383" s="108"/>
      <c r="D383" s="108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44"/>
      <c r="BP383" s="44"/>
      <c r="BQ383" s="44"/>
      <c r="BR383" s="44"/>
      <c r="BS383" s="44"/>
      <c r="BT383" s="44"/>
      <c r="BU383" s="44"/>
      <c r="BV383" s="44"/>
      <c r="BW383" s="44"/>
      <c r="BX383" s="44"/>
      <c r="BY383" s="44"/>
      <c r="BZ383" s="44"/>
      <c r="CA383" s="44"/>
      <c r="CB383" s="44"/>
      <c r="CC383" s="44"/>
    </row>
    <row r="384" ht="21.0" customHeight="1">
      <c r="A384" s="12"/>
      <c r="B384" s="108"/>
      <c r="C384" s="108"/>
      <c r="D384" s="108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44"/>
      <c r="BP384" s="44"/>
      <c r="BQ384" s="44"/>
      <c r="BR384" s="44"/>
      <c r="BS384" s="44"/>
      <c r="BT384" s="44"/>
      <c r="BU384" s="44"/>
      <c r="BV384" s="44"/>
      <c r="BW384" s="44"/>
      <c r="BX384" s="44"/>
      <c r="BY384" s="44"/>
      <c r="BZ384" s="44"/>
      <c r="CA384" s="44"/>
      <c r="CB384" s="44"/>
      <c r="CC384" s="44"/>
    </row>
    <row r="385" ht="21.0" customHeight="1">
      <c r="A385" s="12"/>
      <c r="B385" s="108"/>
      <c r="C385" s="108"/>
      <c r="D385" s="108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44"/>
      <c r="BP385" s="44"/>
      <c r="BQ385" s="44"/>
      <c r="BR385" s="44"/>
      <c r="BS385" s="44"/>
      <c r="BT385" s="44"/>
      <c r="BU385" s="44"/>
      <c r="BV385" s="44"/>
      <c r="BW385" s="44"/>
      <c r="BX385" s="44"/>
      <c r="BY385" s="44"/>
      <c r="BZ385" s="44"/>
      <c r="CA385" s="44"/>
      <c r="CB385" s="44"/>
      <c r="CC385" s="44"/>
    </row>
    <row r="386" ht="21.0" customHeight="1">
      <c r="A386" s="12"/>
      <c r="B386" s="108"/>
      <c r="C386" s="108"/>
      <c r="D386" s="108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44"/>
      <c r="BP386" s="44"/>
      <c r="BQ386" s="44"/>
      <c r="BR386" s="44"/>
      <c r="BS386" s="44"/>
      <c r="BT386" s="44"/>
      <c r="BU386" s="44"/>
      <c r="BV386" s="44"/>
      <c r="BW386" s="44"/>
      <c r="BX386" s="44"/>
      <c r="BY386" s="44"/>
      <c r="BZ386" s="44"/>
      <c r="CA386" s="44"/>
      <c r="CB386" s="44"/>
      <c r="CC386" s="44"/>
    </row>
    <row r="387" ht="21.0" customHeight="1">
      <c r="A387" s="12"/>
      <c r="B387" s="107"/>
      <c r="C387" s="107"/>
      <c r="D387" s="107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</row>
    <row r="388" ht="21.0" customHeight="1">
      <c r="A388" s="12"/>
      <c r="B388" s="108"/>
      <c r="C388" s="108"/>
      <c r="D388" s="108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44"/>
      <c r="BP388" s="44"/>
      <c r="BQ388" s="44"/>
      <c r="BR388" s="44"/>
      <c r="BS388" s="44"/>
      <c r="BT388" s="44"/>
      <c r="BU388" s="44"/>
      <c r="BV388" s="44"/>
      <c r="BW388" s="44"/>
      <c r="BX388" s="44"/>
      <c r="BY388" s="44"/>
      <c r="BZ388" s="44"/>
      <c r="CA388" s="44"/>
      <c r="CB388" s="44"/>
      <c r="CC388" s="44"/>
    </row>
    <row r="389" ht="21.0" customHeight="1">
      <c r="A389" s="12"/>
      <c r="B389" s="108"/>
      <c r="C389" s="108"/>
      <c r="D389" s="108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44"/>
      <c r="BP389" s="44"/>
      <c r="BQ389" s="44"/>
      <c r="BR389" s="44"/>
      <c r="BS389" s="44"/>
      <c r="BT389" s="44"/>
      <c r="BU389" s="44"/>
      <c r="BV389" s="44"/>
      <c r="BW389" s="44"/>
      <c r="BX389" s="44"/>
      <c r="BY389" s="44"/>
      <c r="BZ389" s="44"/>
      <c r="CA389" s="44"/>
      <c r="CB389" s="44"/>
      <c r="CC389" s="44"/>
    </row>
    <row r="390" ht="21.0" customHeight="1">
      <c r="A390" s="12"/>
      <c r="B390" s="108"/>
      <c r="C390" s="108"/>
      <c r="D390" s="108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44"/>
      <c r="BP390" s="44"/>
      <c r="BQ390" s="44"/>
      <c r="BR390" s="44"/>
      <c r="BS390" s="44"/>
      <c r="BT390" s="44"/>
      <c r="BU390" s="44"/>
      <c r="BV390" s="44"/>
      <c r="BW390" s="44"/>
      <c r="BX390" s="44"/>
      <c r="BY390" s="44"/>
      <c r="BZ390" s="44"/>
      <c r="CA390" s="44"/>
      <c r="CB390" s="44"/>
      <c r="CC390" s="44"/>
    </row>
    <row r="391" ht="21.0" customHeight="1">
      <c r="A391" s="12"/>
      <c r="B391" s="107"/>
      <c r="C391" s="107"/>
      <c r="D391" s="108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44"/>
      <c r="BP391" s="44"/>
      <c r="BQ391" s="44"/>
      <c r="BR391" s="44"/>
      <c r="BS391" s="44"/>
      <c r="BT391" s="44"/>
      <c r="BU391" s="44"/>
      <c r="BV391" s="44"/>
      <c r="BW391" s="44"/>
      <c r="BX391" s="44"/>
      <c r="BY391" s="44"/>
      <c r="BZ391" s="44"/>
      <c r="CA391" s="44"/>
      <c r="CB391" s="44"/>
      <c r="CC391" s="44"/>
    </row>
    <row r="392" ht="21.0" customHeight="1">
      <c r="A392" s="12"/>
      <c r="B392" s="108"/>
      <c r="C392" s="108"/>
      <c r="D392" s="108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44"/>
      <c r="BP392" s="44"/>
      <c r="BQ392" s="44"/>
      <c r="BR392" s="44"/>
      <c r="BS392" s="44"/>
      <c r="BT392" s="44"/>
      <c r="BU392" s="44"/>
      <c r="BV392" s="44"/>
      <c r="BW392" s="44"/>
      <c r="BX392" s="44"/>
      <c r="BY392" s="44"/>
      <c r="BZ392" s="44"/>
      <c r="CA392" s="44"/>
      <c r="CB392" s="44"/>
      <c r="CC392" s="44"/>
    </row>
    <row r="393" ht="21.0" customHeight="1">
      <c r="A393" s="12"/>
      <c r="B393" s="108"/>
      <c r="C393" s="108"/>
      <c r="D393" s="107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</row>
    <row r="394" ht="21.0" customHeight="1">
      <c r="A394" s="12"/>
      <c r="B394" s="108"/>
      <c r="C394" s="108"/>
      <c r="D394" s="107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</row>
    <row r="395" ht="21.0" customHeight="1">
      <c r="A395" s="12"/>
      <c r="B395" s="108"/>
      <c r="C395" s="108"/>
      <c r="D395" s="108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44"/>
      <c r="BP395" s="44"/>
      <c r="BQ395" s="44"/>
      <c r="BR395" s="44"/>
      <c r="BS395" s="44"/>
      <c r="BT395" s="44"/>
      <c r="BU395" s="44"/>
      <c r="BV395" s="44"/>
      <c r="BW395" s="44"/>
      <c r="BX395" s="44"/>
      <c r="BY395" s="44"/>
      <c r="BZ395" s="44"/>
      <c r="CA395" s="44"/>
      <c r="CB395" s="44"/>
      <c r="CC395" s="44"/>
    </row>
    <row r="396" ht="21.0" customHeight="1">
      <c r="A396" s="12"/>
      <c r="B396" s="108"/>
      <c r="C396" s="108"/>
      <c r="D396" s="108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44"/>
      <c r="BP396" s="44"/>
      <c r="BQ396" s="44"/>
      <c r="BR396" s="44"/>
      <c r="BS396" s="44"/>
      <c r="BT396" s="44"/>
      <c r="BU396" s="44"/>
      <c r="BV396" s="44"/>
      <c r="BW396" s="44"/>
      <c r="BX396" s="44"/>
      <c r="BY396" s="44"/>
      <c r="BZ396" s="44"/>
      <c r="CA396" s="44"/>
      <c r="CB396" s="44"/>
      <c r="CC396" s="44"/>
    </row>
    <row r="397" ht="21.0" customHeight="1">
      <c r="A397" s="12"/>
      <c r="B397" s="108"/>
      <c r="C397" s="108"/>
      <c r="D397" s="108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44"/>
      <c r="BP397" s="44"/>
      <c r="BQ397" s="44"/>
      <c r="BR397" s="44"/>
      <c r="BS397" s="44"/>
      <c r="BT397" s="44"/>
      <c r="BU397" s="44"/>
      <c r="BV397" s="44"/>
      <c r="BW397" s="44"/>
      <c r="BX397" s="44"/>
      <c r="BY397" s="44"/>
      <c r="BZ397" s="44"/>
      <c r="CA397" s="44"/>
      <c r="CB397" s="44"/>
      <c r="CC397" s="44"/>
    </row>
    <row r="398" ht="21.0" customHeight="1">
      <c r="A398" s="12"/>
      <c r="B398" s="108"/>
      <c r="C398" s="108"/>
      <c r="D398" s="107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</row>
    <row r="399" ht="21.0" customHeight="1">
      <c r="A399" s="12"/>
      <c r="B399" s="108"/>
      <c r="C399" s="108"/>
      <c r="D399" s="108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44"/>
      <c r="BP399" s="44"/>
      <c r="BQ399" s="44"/>
      <c r="BR399" s="44"/>
      <c r="BS399" s="44"/>
      <c r="BT399" s="44"/>
      <c r="BU399" s="44"/>
      <c r="BV399" s="44"/>
      <c r="BW399" s="44"/>
      <c r="BX399" s="44"/>
      <c r="BY399" s="44"/>
      <c r="BZ399" s="44"/>
      <c r="CA399" s="44"/>
      <c r="CB399" s="44"/>
      <c r="CC399" s="44"/>
    </row>
    <row r="400" ht="21.0" customHeight="1">
      <c r="A400" s="12"/>
      <c r="B400" s="108"/>
      <c r="C400" s="108"/>
      <c r="D400" s="108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44"/>
      <c r="BP400" s="44"/>
      <c r="BQ400" s="44"/>
      <c r="BR400" s="44"/>
      <c r="BS400" s="44"/>
      <c r="BT400" s="44"/>
      <c r="BU400" s="44"/>
      <c r="BV400" s="44"/>
      <c r="BW400" s="44"/>
      <c r="BX400" s="44"/>
      <c r="BY400" s="44"/>
      <c r="BZ400" s="44"/>
      <c r="CA400" s="44"/>
      <c r="CB400" s="44"/>
      <c r="CC400" s="44"/>
    </row>
    <row r="401" ht="21.0" customHeight="1">
      <c r="A401" s="12"/>
      <c r="B401" s="108"/>
      <c r="C401" s="108"/>
      <c r="D401" s="107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</row>
    <row r="402" ht="21.0" customHeight="1">
      <c r="A402" s="12"/>
      <c r="B402" s="108"/>
      <c r="C402" s="108"/>
      <c r="D402" s="108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44"/>
      <c r="BP402" s="44"/>
      <c r="BQ402" s="44"/>
      <c r="BR402" s="44"/>
      <c r="BS402" s="44"/>
      <c r="BT402" s="44"/>
      <c r="BU402" s="44"/>
      <c r="BV402" s="44"/>
      <c r="BW402" s="44"/>
      <c r="BX402" s="44"/>
      <c r="BY402" s="44"/>
      <c r="BZ402" s="44"/>
      <c r="CA402" s="44"/>
      <c r="CB402" s="44"/>
      <c r="CC402" s="44"/>
    </row>
    <row r="403" ht="21.0" customHeight="1">
      <c r="A403" s="12"/>
      <c r="B403" s="108"/>
      <c r="C403" s="108"/>
      <c r="D403" s="108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  <c r="BX403" s="44"/>
      <c r="BY403" s="44"/>
      <c r="BZ403" s="44"/>
      <c r="CA403" s="44"/>
      <c r="CB403" s="44"/>
      <c r="CC403" s="44"/>
    </row>
    <row r="404" ht="21.0" customHeight="1">
      <c r="A404" s="12"/>
      <c r="B404" s="108"/>
      <c r="C404" s="108"/>
      <c r="D404" s="108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  <c r="BX404" s="44"/>
      <c r="BY404" s="44"/>
      <c r="BZ404" s="44"/>
      <c r="CA404" s="44"/>
      <c r="CB404" s="44"/>
      <c r="CC404" s="44"/>
    </row>
    <row r="405" ht="21.0" customHeight="1">
      <c r="A405" s="12"/>
      <c r="B405" s="108"/>
      <c r="C405" s="108"/>
      <c r="D405" s="108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  <c r="BX405" s="44"/>
      <c r="BY405" s="44"/>
      <c r="BZ405" s="44"/>
      <c r="CA405" s="44"/>
      <c r="CB405" s="44"/>
      <c r="CC405" s="44"/>
    </row>
    <row r="406" ht="21.0" customHeight="1">
      <c r="A406" s="12"/>
      <c r="B406" s="108"/>
      <c r="C406" s="108"/>
      <c r="D406" s="108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  <c r="BX406" s="44"/>
      <c r="BY406" s="44"/>
      <c r="BZ406" s="44"/>
      <c r="CA406" s="44"/>
      <c r="CB406" s="44"/>
      <c r="CC406" s="44"/>
    </row>
    <row r="407" ht="21.0" customHeight="1">
      <c r="A407" s="12"/>
      <c r="B407" s="107"/>
      <c r="C407" s="107"/>
      <c r="D407" s="108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  <c r="BX407" s="44"/>
      <c r="BY407" s="44"/>
      <c r="BZ407" s="44"/>
      <c r="CA407" s="44"/>
      <c r="CB407" s="44"/>
      <c r="CC407" s="44"/>
    </row>
    <row r="408" ht="21.0" customHeight="1">
      <c r="A408" s="12"/>
      <c r="B408" s="108"/>
      <c r="C408" s="108"/>
      <c r="D408" s="108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  <c r="BX408" s="44"/>
      <c r="BY408" s="44"/>
      <c r="BZ408" s="44"/>
      <c r="CA408" s="44"/>
      <c r="CB408" s="44"/>
      <c r="CC408" s="44"/>
    </row>
    <row r="409" ht="21.0" customHeight="1">
      <c r="A409" s="12"/>
      <c r="B409" s="108"/>
      <c r="C409" s="108"/>
      <c r="D409" s="108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  <c r="BX409" s="44"/>
      <c r="BY409" s="44"/>
      <c r="BZ409" s="44"/>
      <c r="CA409" s="44"/>
      <c r="CB409" s="44"/>
      <c r="CC409" s="44"/>
    </row>
    <row r="410" ht="21.0" customHeight="1">
      <c r="A410" s="12"/>
      <c r="B410" s="107"/>
      <c r="C410" s="107"/>
      <c r="D410" s="108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  <c r="BX410" s="44"/>
      <c r="BY410" s="44"/>
      <c r="BZ410" s="44"/>
      <c r="CA410" s="44"/>
      <c r="CB410" s="44"/>
      <c r="CC410" s="44"/>
    </row>
    <row r="411" ht="21.0" customHeight="1">
      <c r="A411" s="12"/>
      <c r="B411" s="108"/>
      <c r="C411" s="108"/>
      <c r="D411" s="108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  <c r="BX411" s="44"/>
      <c r="BY411" s="44"/>
      <c r="BZ411" s="44"/>
      <c r="CA411" s="44"/>
      <c r="CB411" s="44"/>
      <c r="CC411" s="44"/>
    </row>
    <row r="412" ht="21.0" customHeight="1">
      <c r="A412" s="12"/>
      <c r="B412" s="108"/>
      <c r="C412" s="108"/>
      <c r="D412" s="108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  <c r="BX412" s="44"/>
      <c r="BY412" s="44"/>
      <c r="BZ412" s="44"/>
      <c r="CA412" s="44"/>
      <c r="CB412" s="44"/>
      <c r="CC412" s="44"/>
    </row>
    <row r="413" ht="21.0" customHeight="1">
      <c r="A413" s="12"/>
      <c r="B413" s="108"/>
      <c r="C413" s="108"/>
      <c r="D413" s="108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  <c r="BX413" s="44"/>
      <c r="BY413" s="44"/>
      <c r="BZ413" s="44"/>
      <c r="CA413" s="44"/>
      <c r="CB413" s="44"/>
      <c r="CC413" s="44"/>
    </row>
    <row r="414" ht="21.0" customHeight="1">
      <c r="A414" s="12"/>
      <c r="B414" s="108"/>
      <c r="C414" s="108"/>
      <c r="D414" s="108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  <c r="BX414" s="44"/>
      <c r="BY414" s="44"/>
      <c r="BZ414" s="44"/>
      <c r="CA414" s="44"/>
      <c r="CB414" s="44"/>
      <c r="CC414" s="44"/>
    </row>
    <row r="415" ht="21.0" customHeight="1">
      <c r="A415" s="12"/>
      <c r="B415" s="108"/>
      <c r="C415" s="108"/>
      <c r="D415" s="108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  <c r="BX415" s="44"/>
      <c r="BY415" s="44"/>
      <c r="BZ415" s="44"/>
      <c r="CA415" s="44"/>
      <c r="CB415" s="44"/>
      <c r="CC415" s="44"/>
    </row>
    <row r="416" ht="21.0" customHeight="1">
      <c r="A416" s="12"/>
      <c r="B416" s="108"/>
      <c r="C416" s="108"/>
      <c r="D416" s="108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  <c r="BX416" s="44"/>
      <c r="BY416" s="44"/>
      <c r="BZ416" s="44"/>
      <c r="CA416" s="44"/>
      <c r="CB416" s="44"/>
      <c r="CC416" s="44"/>
    </row>
    <row r="417" ht="21.0" customHeight="1">
      <c r="A417" s="12"/>
      <c r="B417" s="108"/>
      <c r="C417" s="108"/>
      <c r="D417" s="108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  <c r="BX417" s="44"/>
      <c r="BY417" s="44"/>
      <c r="BZ417" s="44"/>
      <c r="CA417" s="44"/>
      <c r="CB417" s="44"/>
      <c r="CC417" s="44"/>
    </row>
    <row r="418" ht="21.0" customHeight="1">
      <c r="A418" s="12"/>
      <c r="B418" s="108"/>
      <c r="C418" s="108"/>
      <c r="D418" s="108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  <c r="BX418" s="44"/>
      <c r="BY418" s="44"/>
      <c r="BZ418" s="44"/>
      <c r="CA418" s="44"/>
      <c r="CB418" s="44"/>
      <c r="CC418" s="44"/>
    </row>
    <row r="419" ht="21.0" customHeight="1">
      <c r="A419" s="12"/>
      <c r="B419" s="108"/>
      <c r="C419" s="108"/>
      <c r="D419" s="108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  <c r="BX419" s="44"/>
      <c r="BY419" s="44"/>
      <c r="BZ419" s="44"/>
      <c r="CA419" s="44"/>
      <c r="CB419" s="44"/>
      <c r="CC419" s="44"/>
    </row>
    <row r="420" ht="21.0" customHeight="1">
      <c r="A420" s="12"/>
      <c r="B420" s="108"/>
      <c r="C420" s="108"/>
      <c r="D420" s="108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  <c r="BX420" s="44"/>
      <c r="BY420" s="44"/>
      <c r="BZ420" s="44"/>
      <c r="CA420" s="44"/>
      <c r="CB420" s="44"/>
      <c r="CC420" s="44"/>
    </row>
    <row r="421" ht="21.0" customHeight="1">
      <c r="A421" s="12"/>
      <c r="B421" s="108"/>
      <c r="C421" s="108"/>
      <c r="D421" s="108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  <c r="BX421" s="44"/>
      <c r="BY421" s="44"/>
      <c r="BZ421" s="44"/>
      <c r="CA421" s="44"/>
      <c r="CB421" s="44"/>
      <c r="CC421" s="44"/>
    </row>
    <row r="422" ht="21.0" customHeight="1">
      <c r="A422" s="12"/>
      <c r="B422" s="108"/>
      <c r="C422" s="108"/>
      <c r="D422" s="108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  <c r="BX422" s="44"/>
      <c r="BY422" s="44"/>
      <c r="BZ422" s="44"/>
      <c r="CA422" s="44"/>
      <c r="CB422" s="44"/>
      <c r="CC422" s="44"/>
    </row>
    <row r="423" ht="21.0" customHeight="1">
      <c r="A423" s="12"/>
      <c r="B423" s="108"/>
      <c r="C423" s="108"/>
      <c r="D423" s="108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  <c r="BX423" s="44"/>
      <c r="BY423" s="44"/>
      <c r="BZ423" s="44"/>
      <c r="CA423" s="44"/>
      <c r="CB423" s="44"/>
      <c r="CC423" s="44"/>
    </row>
    <row r="424" ht="21.0" customHeight="1">
      <c r="A424" s="12"/>
      <c r="B424" s="108"/>
      <c r="C424" s="108"/>
      <c r="D424" s="108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  <c r="BX424" s="44"/>
      <c r="BY424" s="44"/>
      <c r="BZ424" s="44"/>
      <c r="CA424" s="44"/>
      <c r="CB424" s="44"/>
      <c r="CC424" s="44"/>
    </row>
    <row r="425" ht="21.0" customHeight="1">
      <c r="A425" s="12"/>
      <c r="B425" s="108"/>
      <c r="C425" s="108"/>
      <c r="D425" s="108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  <c r="BX425" s="44"/>
      <c r="BY425" s="44"/>
      <c r="BZ425" s="44"/>
      <c r="CA425" s="44"/>
      <c r="CB425" s="44"/>
      <c r="CC425" s="44"/>
    </row>
    <row r="426" ht="21.0" customHeight="1">
      <c r="A426" s="12"/>
      <c r="B426" s="108"/>
      <c r="C426" s="108"/>
      <c r="D426" s="108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  <c r="BX426" s="44"/>
      <c r="BY426" s="44"/>
      <c r="BZ426" s="44"/>
      <c r="CA426" s="44"/>
      <c r="CB426" s="44"/>
      <c r="CC426" s="44"/>
    </row>
    <row r="427" ht="21.0" customHeight="1">
      <c r="A427" s="12"/>
      <c r="B427" s="108"/>
      <c r="C427" s="108"/>
      <c r="D427" s="108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  <c r="BX427" s="44"/>
      <c r="BY427" s="44"/>
      <c r="BZ427" s="44"/>
      <c r="CA427" s="44"/>
      <c r="CB427" s="44"/>
      <c r="CC427" s="44"/>
    </row>
    <row r="428" ht="21.0" customHeight="1">
      <c r="A428" s="12"/>
      <c r="B428" s="108"/>
      <c r="C428" s="108"/>
      <c r="D428" s="108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  <c r="BX428" s="44"/>
      <c r="BY428" s="44"/>
      <c r="BZ428" s="44"/>
      <c r="CA428" s="44"/>
      <c r="CB428" s="44"/>
      <c r="CC428" s="44"/>
    </row>
    <row r="429" ht="21.0" customHeight="1">
      <c r="A429" s="12"/>
      <c r="B429" s="108"/>
      <c r="C429" s="108"/>
      <c r="D429" s="108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  <c r="BX429" s="44"/>
      <c r="BY429" s="44"/>
      <c r="BZ429" s="44"/>
      <c r="CA429" s="44"/>
      <c r="CB429" s="44"/>
      <c r="CC429" s="44"/>
    </row>
    <row r="430" ht="21.0" customHeight="1">
      <c r="A430" s="12"/>
      <c r="B430" s="107"/>
      <c r="C430" s="107"/>
      <c r="D430" s="108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  <c r="BX430" s="44"/>
      <c r="BY430" s="44"/>
      <c r="BZ430" s="44"/>
      <c r="CA430" s="44"/>
      <c r="CB430" s="44"/>
      <c r="CC430" s="44"/>
    </row>
    <row r="431" ht="21.0" customHeight="1">
      <c r="A431" s="12"/>
      <c r="B431" s="108"/>
      <c r="C431" s="108"/>
      <c r="D431" s="108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44"/>
      <c r="BP431" s="44"/>
      <c r="BQ431" s="44"/>
      <c r="BR431" s="44"/>
      <c r="BS431" s="44"/>
      <c r="BT431" s="44"/>
      <c r="BU431" s="44"/>
      <c r="BV431" s="44"/>
      <c r="BW431" s="44"/>
      <c r="BX431" s="44"/>
      <c r="BY431" s="44"/>
      <c r="BZ431" s="44"/>
      <c r="CA431" s="44"/>
      <c r="CB431" s="44"/>
      <c r="CC431" s="44"/>
    </row>
    <row r="432" ht="21.0" customHeight="1">
      <c r="A432" s="12"/>
      <c r="B432" s="108"/>
      <c r="C432" s="108"/>
      <c r="D432" s="108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44"/>
      <c r="BP432" s="44"/>
      <c r="BQ432" s="44"/>
      <c r="BR432" s="44"/>
      <c r="BS432" s="44"/>
      <c r="BT432" s="44"/>
      <c r="BU432" s="44"/>
      <c r="BV432" s="44"/>
      <c r="BW432" s="44"/>
      <c r="BX432" s="44"/>
      <c r="BY432" s="44"/>
      <c r="BZ432" s="44"/>
      <c r="CA432" s="44"/>
      <c r="CB432" s="44"/>
      <c r="CC432" s="44"/>
    </row>
    <row r="433" ht="21.0" customHeight="1">
      <c r="A433" s="12"/>
      <c r="B433" s="108"/>
      <c r="C433" s="108"/>
      <c r="D433" s="108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  <c r="BX433" s="44"/>
      <c r="BY433" s="44"/>
      <c r="BZ433" s="44"/>
      <c r="CA433" s="44"/>
      <c r="CB433" s="44"/>
      <c r="CC433" s="44"/>
    </row>
    <row r="434" ht="21.0" customHeight="1">
      <c r="A434" s="12"/>
      <c r="B434" s="108"/>
      <c r="C434" s="108"/>
      <c r="D434" s="108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  <c r="BX434" s="44"/>
      <c r="BY434" s="44"/>
      <c r="BZ434" s="44"/>
      <c r="CA434" s="44"/>
      <c r="CB434" s="44"/>
      <c r="CC434" s="44"/>
    </row>
    <row r="435" ht="21.0" customHeight="1">
      <c r="A435" s="12"/>
      <c r="B435" s="108"/>
      <c r="C435" s="108"/>
      <c r="D435" s="108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  <c r="BX435" s="44"/>
      <c r="BY435" s="44"/>
      <c r="BZ435" s="44"/>
      <c r="CA435" s="44"/>
      <c r="CB435" s="44"/>
      <c r="CC435" s="44"/>
    </row>
    <row r="436" ht="21.0" customHeight="1">
      <c r="A436" s="12"/>
      <c r="B436" s="108"/>
      <c r="C436" s="108"/>
      <c r="D436" s="108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  <c r="BX436" s="44"/>
      <c r="BY436" s="44"/>
      <c r="BZ436" s="44"/>
      <c r="CA436" s="44"/>
      <c r="CB436" s="44"/>
      <c r="CC436" s="44"/>
    </row>
    <row r="437" ht="21.0" customHeight="1">
      <c r="A437" s="12"/>
      <c r="B437" s="108"/>
      <c r="C437" s="108"/>
      <c r="D437" s="108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  <c r="BX437" s="44"/>
      <c r="BY437" s="44"/>
      <c r="BZ437" s="44"/>
      <c r="CA437" s="44"/>
      <c r="CB437" s="44"/>
      <c r="CC437" s="44"/>
    </row>
    <row r="438" ht="21.0" customHeight="1">
      <c r="A438" s="12"/>
      <c r="B438" s="108"/>
      <c r="C438" s="108"/>
      <c r="D438" s="108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  <c r="BX438" s="44"/>
      <c r="BY438" s="44"/>
      <c r="BZ438" s="44"/>
      <c r="CA438" s="44"/>
      <c r="CB438" s="44"/>
      <c r="CC438" s="44"/>
    </row>
    <row r="439" ht="21.0" customHeight="1">
      <c r="A439" s="12"/>
      <c r="B439" s="108"/>
      <c r="C439" s="108"/>
      <c r="D439" s="108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  <c r="BX439" s="44"/>
      <c r="BY439" s="44"/>
      <c r="BZ439" s="44"/>
      <c r="CA439" s="44"/>
      <c r="CB439" s="44"/>
      <c r="CC439" s="44"/>
    </row>
    <row r="440" ht="21.0" customHeight="1">
      <c r="A440" s="12"/>
      <c r="B440" s="108"/>
      <c r="C440" s="108"/>
      <c r="D440" s="108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  <c r="BX440" s="44"/>
      <c r="BY440" s="44"/>
      <c r="BZ440" s="44"/>
      <c r="CA440" s="44"/>
      <c r="CB440" s="44"/>
      <c r="CC440" s="44"/>
    </row>
    <row r="441" ht="21.0" customHeight="1">
      <c r="A441" s="12"/>
      <c r="B441" s="108"/>
      <c r="C441" s="108"/>
      <c r="D441" s="108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  <c r="BX441" s="44"/>
      <c r="BY441" s="44"/>
      <c r="BZ441" s="44"/>
      <c r="CA441" s="44"/>
      <c r="CB441" s="44"/>
      <c r="CC441" s="44"/>
    </row>
    <row r="442" ht="21.0" customHeight="1">
      <c r="A442" s="12"/>
      <c r="B442" s="108"/>
      <c r="C442" s="108"/>
      <c r="D442" s="108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  <c r="BX442" s="44"/>
      <c r="BY442" s="44"/>
      <c r="BZ442" s="44"/>
      <c r="CA442" s="44"/>
      <c r="CB442" s="44"/>
      <c r="CC442" s="44"/>
    </row>
    <row r="443" ht="21.0" customHeight="1">
      <c r="A443" s="12"/>
      <c r="B443" s="108"/>
      <c r="C443" s="108"/>
      <c r="D443" s="108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  <c r="BX443" s="44"/>
      <c r="BY443" s="44"/>
      <c r="BZ443" s="44"/>
      <c r="CA443" s="44"/>
      <c r="CB443" s="44"/>
      <c r="CC443" s="44"/>
    </row>
    <row r="444" ht="21.0" customHeight="1">
      <c r="A444" s="12"/>
      <c r="B444" s="108"/>
      <c r="C444" s="108"/>
      <c r="D444" s="108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  <c r="BX444" s="44"/>
      <c r="BY444" s="44"/>
      <c r="BZ444" s="44"/>
      <c r="CA444" s="44"/>
      <c r="CB444" s="44"/>
      <c r="CC444" s="44"/>
    </row>
    <row r="445" ht="21.0" customHeight="1">
      <c r="A445" s="12"/>
      <c r="B445" s="108"/>
      <c r="C445" s="108"/>
      <c r="D445" s="108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  <c r="BX445" s="44"/>
      <c r="BY445" s="44"/>
      <c r="BZ445" s="44"/>
      <c r="CA445" s="44"/>
      <c r="CB445" s="44"/>
      <c r="CC445" s="44"/>
    </row>
    <row r="446" ht="21.0" customHeight="1">
      <c r="A446" s="12"/>
      <c r="B446" s="108"/>
      <c r="C446" s="108"/>
      <c r="D446" s="108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  <c r="BX446" s="44"/>
      <c r="BY446" s="44"/>
      <c r="BZ446" s="44"/>
      <c r="CA446" s="44"/>
      <c r="CB446" s="44"/>
      <c r="CC446" s="44"/>
    </row>
    <row r="447" ht="21.0" customHeight="1">
      <c r="A447" s="12"/>
      <c r="B447" s="108"/>
      <c r="C447" s="108"/>
      <c r="D447" s="108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  <c r="BX447" s="44"/>
      <c r="BY447" s="44"/>
      <c r="BZ447" s="44"/>
      <c r="CA447" s="44"/>
      <c r="CB447" s="44"/>
      <c r="CC447" s="44"/>
    </row>
    <row r="448" ht="21.0" customHeight="1">
      <c r="A448" s="12"/>
      <c r="B448" s="107"/>
      <c r="C448" s="107"/>
      <c r="D448" s="107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  <c r="BI448" s="25"/>
      <c r="BJ448" s="25"/>
      <c r="BK448" s="25"/>
      <c r="BL448" s="25"/>
      <c r="BM448" s="25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</row>
    <row r="449" ht="21.0" customHeight="1">
      <c r="A449" s="12"/>
      <c r="B449" s="108"/>
      <c r="C449" s="108"/>
      <c r="D449" s="107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  <c r="BI449" s="25"/>
      <c r="BJ449" s="25"/>
      <c r="BK449" s="25"/>
      <c r="BL449" s="25"/>
      <c r="BM449" s="25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</row>
    <row r="450" ht="21.0" customHeight="1">
      <c r="A450" s="12"/>
      <c r="B450" s="108"/>
      <c r="C450" s="108"/>
      <c r="D450" s="107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</row>
    <row r="451" ht="21.0" customHeight="1">
      <c r="A451" s="12"/>
      <c r="B451" s="107"/>
      <c r="C451" s="107"/>
      <c r="D451" s="108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  <c r="BX451" s="44"/>
      <c r="BY451" s="44"/>
      <c r="BZ451" s="44"/>
      <c r="CA451" s="44"/>
      <c r="CB451" s="44"/>
      <c r="CC451" s="44"/>
    </row>
    <row r="452" ht="21.0" customHeight="1">
      <c r="A452" s="12"/>
      <c r="B452" s="108"/>
      <c r="C452" s="108"/>
      <c r="D452" s="108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  <c r="BX452" s="44"/>
      <c r="BY452" s="44"/>
      <c r="BZ452" s="44"/>
      <c r="CA452" s="44"/>
      <c r="CB452" s="44"/>
      <c r="CC452" s="44"/>
    </row>
    <row r="453" ht="21.0" customHeight="1">
      <c r="A453" s="12"/>
      <c r="B453" s="108"/>
      <c r="C453" s="108"/>
      <c r="D453" s="108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44"/>
      <c r="BP453" s="44"/>
      <c r="BQ453" s="44"/>
      <c r="BR453" s="44"/>
      <c r="BS453" s="44"/>
      <c r="BT453" s="44"/>
      <c r="BU453" s="44"/>
      <c r="BV453" s="44"/>
      <c r="BW453" s="44"/>
      <c r="BX453" s="44"/>
      <c r="BY453" s="44"/>
      <c r="BZ453" s="44"/>
      <c r="CA453" s="44"/>
      <c r="CB453" s="44"/>
      <c r="CC453" s="44"/>
    </row>
    <row r="454" ht="21.0" customHeight="1">
      <c r="A454" s="12"/>
      <c r="B454" s="107"/>
      <c r="C454" s="107"/>
      <c r="D454" s="108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44"/>
      <c r="BP454" s="44"/>
      <c r="BQ454" s="44"/>
      <c r="BR454" s="44"/>
      <c r="BS454" s="44"/>
      <c r="BT454" s="44"/>
      <c r="BU454" s="44"/>
      <c r="BV454" s="44"/>
      <c r="BW454" s="44"/>
      <c r="BX454" s="44"/>
      <c r="BY454" s="44"/>
      <c r="BZ454" s="44"/>
      <c r="CA454" s="44"/>
      <c r="CB454" s="44"/>
      <c r="CC454" s="44"/>
    </row>
    <row r="455" ht="21.0" customHeight="1">
      <c r="A455" s="12"/>
      <c r="B455" s="108"/>
      <c r="C455" s="108"/>
      <c r="D455" s="108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  <c r="BX455" s="44"/>
      <c r="BY455" s="44"/>
      <c r="BZ455" s="44"/>
      <c r="CA455" s="44"/>
      <c r="CB455" s="44"/>
      <c r="CC455" s="44"/>
    </row>
    <row r="456" ht="21.0" customHeight="1">
      <c r="A456" s="12"/>
      <c r="B456" s="108"/>
      <c r="C456" s="108"/>
      <c r="D456" s="108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  <c r="BX456" s="44"/>
      <c r="BY456" s="44"/>
      <c r="BZ456" s="44"/>
      <c r="CA456" s="44"/>
      <c r="CB456" s="44"/>
      <c r="CC456" s="44"/>
    </row>
    <row r="457" ht="21.0" customHeight="1">
      <c r="A457" s="12"/>
      <c r="B457" s="108"/>
      <c r="C457" s="108"/>
      <c r="D457" s="108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  <c r="BX457" s="44"/>
      <c r="BY457" s="44"/>
      <c r="BZ457" s="44"/>
      <c r="CA457" s="44"/>
      <c r="CB457" s="44"/>
      <c r="CC457" s="44"/>
    </row>
    <row r="458" ht="21.0" customHeight="1">
      <c r="A458" s="12"/>
      <c r="B458" s="108"/>
      <c r="C458" s="108"/>
      <c r="D458" s="108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  <c r="BX458" s="44"/>
      <c r="BY458" s="44"/>
      <c r="BZ458" s="44"/>
      <c r="CA458" s="44"/>
      <c r="CB458" s="44"/>
      <c r="CC458" s="44"/>
    </row>
    <row r="459" ht="21.0" customHeight="1">
      <c r="A459" s="12"/>
      <c r="B459" s="107"/>
      <c r="C459" s="107"/>
      <c r="D459" s="108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  <c r="BX459" s="44"/>
      <c r="BY459" s="44"/>
      <c r="BZ459" s="44"/>
      <c r="CA459" s="44"/>
      <c r="CB459" s="44"/>
      <c r="CC459" s="44"/>
    </row>
    <row r="460" ht="21.0" customHeight="1">
      <c r="A460" s="12"/>
      <c r="B460" s="108"/>
      <c r="C460" s="108"/>
      <c r="D460" s="108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  <c r="BX460" s="44"/>
      <c r="BY460" s="44"/>
      <c r="BZ460" s="44"/>
      <c r="CA460" s="44"/>
      <c r="CB460" s="44"/>
      <c r="CC460" s="44"/>
    </row>
    <row r="461" ht="21.0" customHeight="1">
      <c r="A461" s="12"/>
      <c r="B461" s="108"/>
      <c r="C461" s="108"/>
      <c r="D461" s="108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  <c r="BX461" s="44"/>
      <c r="BY461" s="44"/>
      <c r="BZ461" s="44"/>
      <c r="CA461" s="44"/>
      <c r="CB461" s="44"/>
      <c r="CC461" s="44"/>
    </row>
    <row r="462" ht="21.0" customHeight="1">
      <c r="A462" s="12"/>
      <c r="B462" s="108"/>
      <c r="C462" s="108"/>
      <c r="D462" s="108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  <c r="BX462" s="44"/>
      <c r="BY462" s="44"/>
      <c r="BZ462" s="44"/>
      <c r="CA462" s="44"/>
      <c r="CB462" s="44"/>
      <c r="CC462" s="44"/>
    </row>
    <row r="463" ht="21.0" customHeight="1">
      <c r="A463" s="12"/>
      <c r="B463" s="108"/>
      <c r="C463" s="108"/>
      <c r="D463" s="108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  <c r="BX463" s="44"/>
      <c r="BY463" s="44"/>
      <c r="BZ463" s="44"/>
      <c r="CA463" s="44"/>
      <c r="CB463" s="44"/>
      <c r="CC463" s="44"/>
    </row>
    <row r="464" ht="21.0" customHeight="1">
      <c r="A464" s="12"/>
      <c r="B464" s="108"/>
      <c r="C464" s="108"/>
      <c r="D464" s="108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  <c r="BX464" s="44"/>
      <c r="BY464" s="44"/>
      <c r="BZ464" s="44"/>
      <c r="CA464" s="44"/>
      <c r="CB464" s="44"/>
      <c r="CC464" s="44"/>
    </row>
    <row r="465" ht="21.0" customHeight="1">
      <c r="A465" s="12"/>
      <c r="B465" s="107"/>
      <c r="C465" s="107"/>
      <c r="D465" s="108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  <c r="BX465" s="44"/>
      <c r="BY465" s="44"/>
      <c r="BZ465" s="44"/>
      <c r="CA465" s="44"/>
      <c r="CB465" s="44"/>
      <c r="CC465" s="44"/>
    </row>
    <row r="466" ht="21.0" customHeight="1">
      <c r="A466" s="12"/>
      <c r="B466" s="108"/>
      <c r="C466" s="108"/>
      <c r="D466" s="107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  <c r="BI466" s="25"/>
      <c r="BJ466" s="25"/>
      <c r="BK466" s="25"/>
      <c r="BL466" s="25"/>
      <c r="BM466" s="25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</row>
    <row r="467" ht="21.0" customHeight="1">
      <c r="A467" s="12"/>
      <c r="B467" s="107"/>
      <c r="C467" s="107"/>
      <c r="D467" s="108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  <c r="BX467" s="44"/>
      <c r="BY467" s="44"/>
      <c r="BZ467" s="44"/>
      <c r="CA467" s="44"/>
      <c r="CB467" s="44"/>
      <c r="CC467" s="44"/>
    </row>
    <row r="468" ht="21.0" customHeight="1">
      <c r="A468" s="12"/>
      <c r="B468" s="107"/>
      <c r="C468" s="107"/>
      <c r="D468" s="108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  <c r="BX468" s="44"/>
      <c r="BY468" s="44"/>
      <c r="BZ468" s="44"/>
      <c r="CA468" s="44"/>
      <c r="CB468" s="44"/>
      <c r="CC468" s="44"/>
    </row>
    <row r="469" ht="21.0" customHeight="1">
      <c r="A469" s="12"/>
      <c r="B469" s="108"/>
      <c r="C469" s="108"/>
      <c r="D469" s="108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  <c r="BX469" s="44"/>
      <c r="BY469" s="44"/>
      <c r="BZ469" s="44"/>
      <c r="CA469" s="44"/>
      <c r="CB469" s="44"/>
      <c r="CC469" s="44"/>
    </row>
    <row r="470" ht="21.0" customHeight="1">
      <c r="A470" s="12"/>
      <c r="B470" s="108"/>
      <c r="C470" s="108"/>
      <c r="D470" s="108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  <c r="BX470" s="44"/>
      <c r="BY470" s="44"/>
      <c r="BZ470" s="44"/>
      <c r="CA470" s="44"/>
      <c r="CB470" s="44"/>
      <c r="CC470" s="44"/>
    </row>
    <row r="471" ht="21.0" customHeight="1">
      <c r="A471" s="12"/>
      <c r="B471" s="108"/>
      <c r="C471" s="108"/>
      <c r="D471" s="107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  <c r="BI471" s="25"/>
      <c r="BJ471" s="25"/>
      <c r="BK471" s="25"/>
      <c r="BL471" s="25"/>
      <c r="BM471" s="25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</row>
    <row r="472" ht="21.0" customHeight="1">
      <c r="A472" s="12"/>
      <c r="B472" s="108"/>
      <c r="C472" s="108"/>
      <c r="D472" s="108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  <c r="BX472" s="44"/>
      <c r="BY472" s="44"/>
      <c r="BZ472" s="44"/>
      <c r="CA472" s="44"/>
      <c r="CB472" s="44"/>
      <c r="CC472" s="44"/>
    </row>
    <row r="473" ht="21.0" customHeight="1">
      <c r="A473" s="12"/>
      <c r="B473" s="108"/>
      <c r="C473" s="108"/>
      <c r="D473" s="108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  <c r="BX473" s="44"/>
      <c r="BY473" s="44"/>
      <c r="BZ473" s="44"/>
      <c r="CA473" s="44"/>
      <c r="CB473" s="44"/>
      <c r="CC473" s="44"/>
    </row>
    <row r="474" ht="21.0" customHeight="1">
      <c r="A474" s="12"/>
      <c r="B474" s="108"/>
      <c r="C474" s="108"/>
      <c r="D474" s="108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  <c r="BX474" s="44"/>
      <c r="BY474" s="44"/>
      <c r="BZ474" s="44"/>
      <c r="CA474" s="44"/>
      <c r="CB474" s="44"/>
      <c r="CC474" s="44"/>
    </row>
    <row r="475" ht="21.0" customHeight="1">
      <c r="A475" s="12"/>
      <c r="B475" s="108"/>
      <c r="C475" s="108"/>
      <c r="D475" s="108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  <c r="BX475" s="44"/>
      <c r="BY475" s="44"/>
      <c r="BZ475" s="44"/>
      <c r="CA475" s="44"/>
      <c r="CB475" s="44"/>
      <c r="CC475" s="44"/>
    </row>
    <row r="476" ht="21.0" customHeight="1">
      <c r="A476" s="12"/>
      <c r="B476" s="107"/>
      <c r="C476" s="107"/>
      <c r="D476" s="108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  <c r="BX476" s="44"/>
      <c r="BY476" s="44"/>
      <c r="BZ476" s="44"/>
      <c r="CA476" s="44"/>
      <c r="CB476" s="44"/>
      <c r="CC476" s="44"/>
    </row>
    <row r="477" ht="21.0" customHeight="1">
      <c r="A477" s="12"/>
      <c r="B477" s="108"/>
      <c r="C477" s="108"/>
      <c r="D477" s="108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  <c r="BX477" s="44"/>
      <c r="BY477" s="44"/>
      <c r="BZ477" s="44"/>
      <c r="CA477" s="44"/>
      <c r="CB477" s="44"/>
      <c r="CC477" s="44"/>
    </row>
    <row r="478" ht="21.0" customHeight="1">
      <c r="A478" s="12"/>
      <c r="B478" s="108"/>
      <c r="C478" s="108"/>
      <c r="D478" s="108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  <c r="BX478" s="44"/>
      <c r="BY478" s="44"/>
      <c r="BZ478" s="44"/>
      <c r="CA478" s="44"/>
      <c r="CB478" s="44"/>
      <c r="CC478" s="44"/>
    </row>
    <row r="479" ht="21.0" customHeight="1">
      <c r="A479" s="12"/>
      <c r="B479" s="108"/>
      <c r="C479" s="108"/>
      <c r="D479" s="108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  <c r="BX479" s="44"/>
      <c r="BY479" s="44"/>
      <c r="BZ479" s="44"/>
      <c r="CA479" s="44"/>
      <c r="CB479" s="44"/>
      <c r="CC479" s="44"/>
    </row>
    <row r="480" ht="21.0" customHeight="1">
      <c r="A480" s="12"/>
      <c r="B480" s="108"/>
      <c r="C480" s="108"/>
      <c r="D480" s="108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  <c r="BX480" s="44"/>
      <c r="BY480" s="44"/>
      <c r="BZ480" s="44"/>
      <c r="CA480" s="44"/>
      <c r="CB480" s="44"/>
      <c r="CC480" s="44"/>
    </row>
    <row r="481" ht="21.0" customHeight="1">
      <c r="A481" s="12"/>
      <c r="B481" s="108"/>
      <c r="C481" s="108"/>
      <c r="D481" s="108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  <c r="BX481" s="44"/>
      <c r="BY481" s="44"/>
      <c r="BZ481" s="44"/>
      <c r="CA481" s="44"/>
      <c r="CB481" s="44"/>
      <c r="CC481" s="44"/>
    </row>
    <row r="482" ht="21.0" customHeight="1">
      <c r="A482" s="12"/>
      <c r="B482" s="108"/>
      <c r="C482" s="108"/>
      <c r="D482" s="108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44"/>
      <c r="BP482" s="44"/>
      <c r="BQ482" s="44"/>
      <c r="BR482" s="44"/>
      <c r="BS482" s="44"/>
      <c r="BT482" s="44"/>
      <c r="BU482" s="44"/>
      <c r="BV482" s="44"/>
      <c r="BW482" s="44"/>
      <c r="BX482" s="44"/>
      <c r="BY482" s="44"/>
      <c r="BZ482" s="44"/>
      <c r="CA482" s="44"/>
      <c r="CB482" s="44"/>
      <c r="CC482" s="44"/>
    </row>
    <row r="483" ht="21.0" customHeight="1">
      <c r="A483" s="12"/>
      <c r="B483" s="108"/>
      <c r="C483" s="108"/>
      <c r="D483" s="11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  <c r="AQ483" s="72"/>
      <c r="AR483" s="72"/>
      <c r="AS483" s="72"/>
      <c r="AT483" s="72"/>
      <c r="AU483" s="72"/>
      <c r="AV483" s="72"/>
      <c r="AW483" s="72"/>
      <c r="AX483" s="72"/>
      <c r="AY483" s="72"/>
      <c r="AZ483" s="72"/>
      <c r="BA483" s="72"/>
      <c r="BB483" s="72"/>
      <c r="BC483" s="72"/>
      <c r="BD483" s="72"/>
      <c r="BE483" s="72"/>
      <c r="BF483" s="72"/>
      <c r="BG483" s="72"/>
      <c r="BH483" s="72"/>
      <c r="BI483" s="72"/>
      <c r="BJ483" s="72"/>
      <c r="BK483" s="72"/>
      <c r="BL483" s="72"/>
      <c r="BM483" s="72"/>
      <c r="BN483" s="72"/>
      <c r="BO483" s="72"/>
      <c r="BP483" s="72"/>
      <c r="BQ483" s="72"/>
      <c r="BR483" s="72"/>
      <c r="BS483" s="72"/>
      <c r="BT483" s="72"/>
      <c r="BU483" s="72"/>
      <c r="BV483" s="72"/>
      <c r="BW483" s="72"/>
      <c r="BX483" s="72"/>
      <c r="BY483" s="72"/>
      <c r="BZ483" s="72"/>
      <c r="CA483" s="72"/>
      <c r="CB483" s="72"/>
      <c r="CC483" s="72"/>
    </row>
    <row r="484" ht="21.0" customHeight="1">
      <c r="A484" s="12"/>
      <c r="B484" s="108"/>
      <c r="C484" s="108"/>
      <c r="D484" s="11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  <c r="AQ484" s="72"/>
      <c r="AR484" s="72"/>
      <c r="AS484" s="72"/>
      <c r="AT484" s="72"/>
      <c r="AU484" s="72"/>
      <c r="AV484" s="72"/>
      <c r="AW484" s="72"/>
      <c r="AX484" s="72"/>
      <c r="AY484" s="72"/>
      <c r="AZ484" s="72"/>
      <c r="BA484" s="72"/>
      <c r="BB484" s="72"/>
      <c r="BC484" s="72"/>
      <c r="BD484" s="72"/>
      <c r="BE484" s="72"/>
      <c r="BF484" s="72"/>
      <c r="BG484" s="72"/>
      <c r="BH484" s="72"/>
      <c r="BI484" s="72"/>
      <c r="BJ484" s="72"/>
      <c r="BK484" s="72"/>
      <c r="BL484" s="72"/>
      <c r="BM484" s="72"/>
      <c r="BN484" s="72"/>
      <c r="BO484" s="72"/>
      <c r="BP484" s="72"/>
      <c r="BQ484" s="72"/>
      <c r="BR484" s="72"/>
      <c r="BS484" s="72"/>
      <c r="BT484" s="72"/>
      <c r="BU484" s="72"/>
      <c r="BV484" s="72"/>
      <c r="BW484" s="72"/>
      <c r="BX484" s="72"/>
      <c r="BY484" s="72"/>
      <c r="BZ484" s="72"/>
      <c r="CA484" s="72"/>
      <c r="CB484" s="72"/>
      <c r="CC484" s="72"/>
    </row>
    <row r="485" ht="21.0" customHeight="1">
      <c r="A485" s="12"/>
      <c r="B485" s="107"/>
      <c r="C485" s="107"/>
      <c r="D485" s="11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  <c r="AQ485" s="72"/>
      <c r="AR485" s="72"/>
      <c r="AS485" s="72"/>
      <c r="AT485" s="72"/>
      <c r="AU485" s="72"/>
      <c r="AV485" s="72"/>
      <c r="AW485" s="72"/>
      <c r="AX485" s="72"/>
      <c r="AY485" s="72"/>
      <c r="AZ485" s="72"/>
      <c r="BA485" s="72"/>
      <c r="BB485" s="72"/>
      <c r="BC485" s="72"/>
      <c r="BD485" s="72"/>
      <c r="BE485" s="72"/>
      <c r="BF485" s="72"/>
      <c r="BG485" s="72"/>
      <c r="BH485" s="72"/>
      <c r="BI485" s="72"/>
      <c r="BJ485" s="72"/>
      <c r="BK485" s="72"/>
      <c r="BL485" s="72"/>
      <c r="BM485" s="72"/>
      <c r="BN485" s="72"/>
      <c r="BO485" s="72"/>
      <c r="BP485" s="72"/>
      <c r="BQ485" s="72"/>
      <c r="BR485" s="72"/>
      <c r="BS485" s="72"/>
      <c r="BT485" s="72"/>
      <c r="BU485" s="72"/>
      <c r="BV485" s="72"/>
      <c r="BW485" s="72"/>
      <c r="BX485" s="72"/>
      <c r="BY485" s="72"/>
      <c r="BZ485" s="72"/>
      <c r="CA485" s="72"/>
      <c r="CB485" s="72"/>
      <c r="CC485" s="72"/>
    </row>
    <row r="486" ht="21.0" customHeight="1">
      <c r="A486" s="12"/>
      <c r="B486" s="108"/>
      <c r="C486" s="108"/>
      <c r="D486" s="11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  <c r="AQ486" s="72"/>
      <c r="AR486" s="72"/>
      <c r="AS486" s="72"/>
      <c r="AT486" s="72"/>
      <c r="AU486" s="72"/>
      <c r="AV486" s="72"/>
      <c r="AW486" s="72"/>
      <c r="AX486" s="72"/>
      <c r="AY486" s="72"/>
      <c r="AZ486" s="72"/>
      <c r="BA486" s="72"/>
      <c r="BB486" s="72"/>
      <c r="BC486" s="72"/>
      <c r="BD486" s="72"/>
      <c r="BE486" s="72"/>
      <c r="BF486" s="72"/>
      <c r="BG486" s="72"/>
      <c r="BH486" s="72"/>
      <c r="BI486" s="72"/>
      <c r="BJ486" s="72"/>
      <c r="BK486" s="72"/>
      <c r="BL486" s="72"/>
      <c r="BM486" s="72"/>
      <c r="BN486" s="72"/>
      <c r="BO486" s="72"/>
      <c r="BP486" s="72"/>
      <c r="BQ486" s="72"/>
      <c r="BR486" s="72"/>
      <c r="BS486" s="72"/>
      <c r="BT486" s="72"/>
      <c r="BU486" s="72"/>
      <c r="BV486" s="72"/>
      <c r="BW486" s="72"/>
      <c r="BX486" s="72"/>
      <c r="BY486" s="72"/>
      <c r="BZ486" s="72"/>
      <c r="CA486" s="72"/>
      <c r="CB486" s="72"/>
      <c r="CC486" s="72"/>
    </row>
    <row r="487" ht="21.0" customHeight="1">
      <c r="A487" s="12"/>
      <c r="B487" s="108"/>
      <c r="C487" s="108"/>
      <c r="D487" s="11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  <c r="AQ487" s="72"/>
      <c r="AR487" s="72"/>
      <c r="AS487" s="72"/>
      <c r="AT487" s="72"/>
      <c r="AU487" s="72"/>
      <c r="AV487" s="72"/>
      <c r="AW487" s="72"/>
      <c r="AX487" s="72"/>
      <c r="AY487" s="72"/>
      <c r="AZ487" s="72"/>
      <c r="BA487" s="72"/>
      <c r="BB487" s="72"/>
      <c r="BC487" s="72"/>
      <c r="BD487" s="72"/>
      <c r="BE487" s="72"/>
      <c r="BF487" s="72"/>
      <c r="BG487" s="72"/>
      <c r="BH487" s="72"/>
      <c r="BI487" s="72"/>
      <c r="BJ487" s="72"/>
      <c r="BK487" s="72"/>
      <c r="BL487" s="72"/>
      <c r="BM487" s="72"/>
      <c r="BN487" s="72"/>
      <c r="BO487" s="72"/>
      <c r="BP487" s="72"/>
      <c r="BQ487" s="72"/>
      <c r="BR487" s="72"/>
      <c r="BS487" s="72"/>
      <c r="BT487" s="72"/>
      <c r="BU487" s="72"/>
      <c r="BV487" s="72"/>
      <c r="BW487" s="72"/>
      <c r="BX487" s="72"/>
      <c r="BY487" s="72"/>
      <c r="BZ487" s="72"/>
      <c r="CA487" s="72"/>
      <c r="CB487" s="72"/>
      <c r="CC487" s="72"/>
    </row>
    <row r="488" ht="21.0" customHeight="1">
      <c r="A488" s="12"/>
      <c r="B488" s="108"/>
      <c r="C488" s="108"/>
      <c r="D488" s="11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  <c r="AQ488" s="72"/>
      <c r="AR488" s="72"/>
      <c r="AS488" s="72"/>
      <c r="AT488" s="72"/>
      <c r="AU488" s="72"/>
      <c r="AV488" s="72"/>
      <c r="AW488" s="72"/>
      <c r="AX488" s="72"/>
      <c r="AY488" s="72"/>
      <c r="AZ488" s="72"/>
      <c r="BA488" s="72"/>
      <c r="BB488" s="72"/>
      <c r="BC488" s="72"/>
      <c r="BD488" s="72"/>
      <c r="BE488" s="72"/>
      <c r="BF488" s="72"/>
      <c r="BG488" s="72"/>
      <c r="BH488" s="72"/>
      <c r="BI488" s="72"/>
      <c r="BJ488" s="72"/>
      <c r="BK488" s="72"/>
      <c r="BL488" s="72"/>
      <c r="BM488" s="72"/>
      <c r="BN488" s="72"/>
      <c r="BO488" s="72"/>
      <c r="BP488" s="72"/>
      <c r="BQ488" s="72"/>
      <c r="BR488" s="72"/>
      <c r="BS488" s="72"/>
      <c r="BT488" s="72"/>
      <c r="BU488" s="72"/>
      <c r="BV488" s="72"/>
      <c r="BW488" s="72"/>
      <c r="BX488" s="72"/>
      <c r="BY488" s="72"/>
      <c r="BZ488" s="72"/>
      <c r="CA488" s="72"/>
      <c r="CB488" s="72"/>
      <c r="CC488" s="72"/>
    </row>
    <row r="489" ht="21.0" customHeight="1">
      <c r="A489" s="12"/>
      <c r="B489" s="108"/>
      <c r="C489" s="108"/>
      <c r="D489" s="11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  <c r="AQ489" s="72"/>
      <c r="AR489" s="72"/>
      <c r="AS489" s="72"/>
      <c r="AT489" s="72"/>
      <c r="AU489" s="72"/>
      <c r="AV489" s="72"/>
      <c r="AW489" s="72"/>
      <c r="AX489" s="72"/>
      <c r="AY489" s="72"/>
      <c r="AZ489" s="72"/>
      <c r="BA489" s="72"/>
      <c r="BB489" s="72"/>
      <c r="BC489" s="72"/>
      <c r="BD489" s="72"/>
      <c r="BE489" s="72"/>
      <c r="BF489" s="72"/>
      <c r="BG489" s="72"/>
      <c r="BH489" s="72"/>
      <c r="BI489" s="72"/>
      <c r="BJ489" s="72"/>
      <c r="BK489" s="72"/>
      <c r="BL489" s="72"/>
      <c r="BM489" s="72"/>
      <c r="BN489" s="72"/>
      <c r="BO489" s="72"/>
      <c r="BP489" s="72"/>
      <c r="BQ489" s="72"/>
      <c r="BR489" s="72"/>
      <c r="BS489" s="72"/>
      <c r="BT489" s="72"/>
      <c r="BU489" s="72"/>
      <c r="BV489" s="72"/>
      <c r="BW489" s="72"/>
      <c r="BX489" s="72"/>
      <c r="BY489" s="72"/>
      <c r="BZ489" s="72"/>
      <c r="CA489" s="72"/>
      <c r="CB489" s="72"/>
      <c r="CC489" s="72"/>
    </row>
    <row r="490" ht="21.0" customHeight="1">
      <c r="A490" s="12"/>
      <c r="B490" s="108"/>
      <c r="C490" s="108"/>
      <c r="D490" s="11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  <c r="AQ490" s="72"/>
      <c r="AR490" s="72"/>
      <c r="AS490" s="72"/>
      <c r="AT490" s="72"/>
      <c r="AU490" s="72"/>
      <c r="AV490" s="72"/>
      <c r="AW490" s="72"/>
      <c r="AX490" s="72"/>
      <c r="AY490" s="72"/>
      <c r="AZ490" s="72"/>
      <c r="BA490" s="72"/>
      <c r="BB490" s="72"/>
      <c r="BC490" s="72"/>
      <c r="BD490" s="72"/>
      <c r="BE490" s="72"/>
      <c r="BF490" s="72"/>
      <c r="BG490" s="72"/>
      <c r="BH490" s="72"/>
      <c r="BI490" s="72"/>
      <c r="BJ490" s="72"/>
      <c r="BK490" s="72"/>
      <c r="BL490" s="72"/>
      <c r="BM490" s="72"/>
      <c r="BN490" s="72"/>
      <c r="BO490" s="72"/>
      <c r="BP490" s="72"/>
      <c r="BQ490" s="72"/>
      <c r="BR490" s="72"/>
      <c r="BS490" s="72"/>
      <c r="BT490" s="72"/>
      <c r="BU490" s="72"/>
      <c r="BV490" s="72"/>
      <c r="BW490" s="72"/>
      <c r="BX490" s="72"/>
      <c r="BY490" s="72"/>
      <c r="BZ490" s="72"/>
      <c r="CA490" s="72"/>
      <c r="CB490" s="72"/>
      <c r="CC490" s="72"/>
    </row>
    <row r="491" ht="21.0" customHeight="1">
      <c r="A491" s="12"/>
      <c r="B491" s="108"/>
      <c r="C491" s="108"/>
      <c r="D491" s="11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  <c r="AQ491" s="72"/>
      <c r="AR491" s="72"/>
      <c r="AS491" s="72"/>
      <c r="AT491" s="72"/>
      <c r="AU491" s="72"/>
      <c r="AV491" s="72"/>
      <c r="AW491" s="72"/>
      <c r="AX491" s="72"/>
      <c r="AY491" s="72"/>
      <c r="AZ491" s="72"/>
      <c r="BA491" s="72"/>
      <c r="BB491" s="72"/>
      <c r="BC491" s="72"/>
      <c r="BD491" s="72"/>
      <c r="BE491" s="72"/>
      <c r="BF491" s="72"/>
      <c r="BG491" s="72"/>
      <c r="BH491" s="72"/>
      <c r="BI491" s="72"/>
      <c r="BJ491" s="72"/>
      <c r="BK491" s="72"/>
      <c r="BL491" s="72"/>
      <c r="BM491" s="72"/>
      <c r="BN491" s="72"/>
      <c r="BO491" s="72"/>
      <c r="BP491" s="72"/>
      <c r="BQ491" s="72"/>
      <c r="BR491" s="72"/>
      <c r="BS491" s="72"/>
      <c r="BT491" s="72"/>
      <c r="BU491" s="72"/>
      <c r="BV491" s="72"/>
      <c r="BW491" s="72"/>
      <c r="BX491" s="72"/>
      <c r="BY491" s="72"/>
      <c r="BZ491" s="72"/>
      <c r="CA491" s="72"/>
      <c r="CB491" s="72"/>
      <c r="CC491" s="72"/>
    </row>
    <row r="492" ht="21.0" customHeight="1">
      <c r="A492" s="12"/>
      <c r="B492" s="108"/>
      <c r="C492" s="108"/>
      <c r="D492" s="11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  <c r="AQ492" s="72"/>
      <c r="AR492" s="72"/>
      <c r="AS492" s="72"/>
      <c r="AT492" s="72"/>
      <c r="AU492" s="72"/>
      <c r="AV492" s="72"/>
      <c r="AW492" s="72"/>
      <c r="AX492" s="72"/>
      <c r="AY492" s="72"/>
      <c r="AZ492" s="72"/>
      <c r="BA492" s="72"/>
      <c r="BB492" s="72"/>
      <c r="BC492" s="72"/>
      <c r="BD492" s="72"/>
      <c r="BE492" s="72"/>
      <c r="BF492" s="72"/>
      <c r="BG492" s="72"/>
      <c r="BH492" s="72"/>
      <c r="BI492" s="72"/>
      <c r="BJ492" s="72"/>
      <c r="BK492" s="72"/>
      <c r="BL492" s="72"/>
      <c r="BM492" s="72"/>
      <c r="BN492" s="72"/>
      <c r="BO492" s="72"/>
      <c r="BP492" s="72"/>
      <c r="BQ492" s="72"/>
      <c r="BR492" s="72"/>
      <c r="BS492" s="72"/>
      <c r="BT492" s="72"/>
      <c r="BU492" s="72"/>
      <c r="BV492" s="72"/>
      <c r="BW492" s="72"/>
      <c r="BX492" s="72"/>
      <c r="BY492" s="72"/>
      <c r="BZ492" s="72"/>
      <c r="CA492" s="72"/>
      <c r="CB492" s="72"/>
      <c r="CC492" s="72"/>
    </row>
    <row r="493" ht="21.0" customHeight="1">
      <c r="A493" s="12"/>
      <c r="B493" s="107"/>
      <c r="C493" s="107"/>
      <c r="D493" s="11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  <c r="AQ493" s="72"/>
      <c r="AR493" s="72"/>
      <c r="AS493" s="72"/>
      <c r="AT493" s="72"/>
      <c r="AU493" s="72"/>
      <c r="AV493" s="72"/>
      <c r="AW493" s="72"/>
      <c r="AX493" s="72"/>
      <c r="AY493" s="72"/>
      <c r="AZ493" s="72"/>
      <c r="BA493" s="72"/>
      <c r="BB493" s="72"/>
      <c r="BC493" s="72"/>
      <c r="BD493" s="72"/>
      <c r="BE493" s="72"/>
      <c r="BF493" s="72"/>
      <c r="BG493" s="72"/>
      <c r="BH493" s="72"/>
      <c r="BI493" s="72"/>
      <c r="BJ493" s="72"/>
      <c r="BK493" s="72"/>
      <c r="BL493" s="72"/>
      <c r="BM493" s="72"/>
      <c r="BN493" s="72"/>
      <c r="BO493" s="72"/>
      <c r="BP493" s="72"/>
      <c r="BQ493" s="72"/>
      <c r="BR493" s="72"/>
      <c r="BS493" s="72"/>
      <c r="BT493" s="72"/>
      <c r="BU493" s="72"/>
      <c r="BV493" s="72"/>
      <c r="BW493" s="72"/>
      <c r="BX493" s="72"/>
      <c r="BY493" s="72"/>
      <c r="BZ493" s="72"/>
      <c r="CA493" s="72"/>
      <c r="CB493" s="72"/>
      <c r="CC493" s="72"/>
    </row>
    <row r="494" ht="21.0" customHeight="1">
      <c r="A494" s="12"/>
      <c r="B494" s="108"/>
      <c r="C494" s="108"/>
      <c r="D494" s="11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  <c r="AQ494" s="72"/>
      <c r="AR494" s="72"/>
      <c r="AS494" s="72"/>
      <c r="AT494" s="72"/>
      <c r="AU494" s="72"/>
      <c r="AV494" s="72"/>
      <c r="AW494" s="72"/>
      <c r="AX494" s="72"/>
      <c r="AY494" s="72"/>
      <c r="AZ494" s="72"/>
      <c r="BA494" s="72"/>
      <c r="BB494" s="72"/>
      <c r="BC494" s="72"/>
      <c r="BD494" s="72"/>
      <c r="BE494" s="72"/>
      <c r="BF494" s="72"/>
      <c r="BG494" s="72"/>
      <c r="BH494" s="72"/>
      <c r="BI494" s="72"/>
      <c r="BJ494" s="72"/>
      <c r="BK494" s="72"/>
      <c r="BL494" s="72"/>
      <c r="BM494" s="72"/>
      <c r="BN494" s="72"/>
      <c r="BO494" s="72"/>
      <c r="BP494" s="72"/>
      <c r="BQ494" s="72"/>
      <c r="BR494" s="72"/>
      <c r="BS494" s="72"/>
      <c r="BT494" s="72"/>
      <c r="BU494" s="72"/>
      <c r="BV494" s="72"/>
      <c r="BW494" s="72"/>
      <c r="BX494" s="72"/>
      <c r="BY494" s="72"/>
      <c r="BZ494" s="72"/>
      <c r="CA494" s="72"/>
      <c r="CB494" s="72"/>
      <c r="CC494" s="72"/>
    </row>
    <row r="495" ht="21.0" customHeight="1">
      <c r="A495" s="12"/>
      <c r="B495" s="108"/>
      <c r="C495" s="108"/>
      <c r="D495" s="11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  <c r="AQ495" s="72"/>
      <c r="AR495" s="72"/>
      <c r="AS495" s="72"/>
      <c r="AT495" s="72"/>
      <c r="AU495" s="72"/>
      <c r="AV495" s="72"/>
      <c r="AW495" s="72"/>
      <c r="AX495" s="72"/>
      <c r="AY495" s="72"/>
      <c r="AZ495" s="72"/>
      <c r="BA495" s="72"/>
      <c r="BB495" s="72"/>
      <c r="BC495" s="72"/>
      <c r="BD495" s="72"/>
      <c r="BE495" s="72"/>
      <c r="BF495" s="72"/>
      <c r="BG495" s="72"/>
      <c r="BH495" s="72"/>
      <c r="BI495" s="72"/>
      <c r="BJ495" s="72"/>
      <c r="BK495" s="72"/>
      <c r="BL495" s="72"/>
      <c r="BM495" s="72"/>
      <c r="BN495" s="72"/>
      <c r="BO495" s="72"/>
      <c r="BP495" s="72"/>
      <c r="BQ495" s="72"/>
      <c r="BR495" s="72"/>
      <c r="BS495" s="72"/>
      <c r="BT495" s="72"/>
      <c r="BU495" s="72"/>
      <c r="BV495" s="72"/>
      <c r="BW495" s="72"/>
      <c r="BX495" s="72"/>
      <c r="BY495" s="72"/>
      <c r="BZ495" s="72"/>
      <c r="CA495" s="72"/>
      <c r="CB495" s="72"/>
      <c r="CC495" s="72"/>
    </row>
    <row r="496" ht="21.0" customHeight="1">
      <c r="A496" s="12"/>
      <c r="B496" s="108"/>
      <c r="C496" s="108"/>
      <c r="D496" s="11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  <c r="AQ496" s="72"/>
      <c r="AR496" s="72"/>
      <c r="AS496" s="72"/>
      <c r="AT496" s="72"/>
      <c r="AU496" s="72"/>
      <c r="AV496" s="72"/>
      <c r="AW496" s="72"/>
      <c r="AX496" s="72"/>
      <c r="AY496" s="72"/>
      <c r="AZ496" s="72"/>
      <c r="BA496" s="72"/>
      <c r="BB496" s="72"/>
      <c r="BC496" s="72"/>
      <c r="BD496" s="72"/>
      <c r="BE496" s="72"/>
      <c r="BF496" s="72"/>
      <c r="BG496" s="72"/>
      <c r="BH496" s="72"/>
      <c r="BI496" s="72"/>
      <c r="BJ496" s="72"/>
      <c r="BK496" s="72"/>
      <c r="BL496" s="72"/>
      <c r="BM496" s="72"/>
      <c r="BN496" s="72"/>
      <c r="BO496" s="72"/>
      <c r="BP496" s="72"/>
      <c r="BQ496" s="72"/>
      <c r="BR496" s="72"/>
      <c r="BS496" s="72"/>
      <c r="BT496" s="72"/>
      <c r="BU496" s="72"/>
      <c r="BV496" s="72"/>
      <c r="BW496" s="72"/>
      <c r="BX496" s="72"/>
      <c r="BY496" s="72"/>
      <c r="BZ496" s="72"/>
      <c r="CA496" s="72"/>
      <c r="CB496" s="72"/>
      <c r="CC496" s="72"/>
    </row>
    <row r="497" ht="21.0" customHeight="1">
      <c r="A497" s="12"/>
      <c r="B497" s="108"/>
      <c r="C497" s="108"/>
      <c r="D497" s="11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  <c r="AQ497" s="72"/>
      <c r="AR497" s="72"/>
      <c r="AS497" s="72"/>
      <c r="AT497" s="72"/>
      <c r="AU497" s="72"/>
      <c r="AV497" s="72"/>
      <c r="AW497" s="72"/>
      <c r="AX497" s="72"/>
      <c r="AY497" s="72"/>
      <c r="AZ497" s="72"/>
      <c r="BA497" s="72"/>
      <c r="BB497" s="72"/>
      <c r="BC497" s="72"/>
      <c r="BD497" s="72"/>
      <c r="BE497" s="72"/>
      <c r="BF497" s="72"/>
      <c r="BG497" s="72"/>
      <c r="BH497" s="72"/>
      <c r="BI497" s="72"/>
      <c r="BJ497" s="72"/>
      <c r="BK497" s="72"/>
      <c r="BL497" s="72"/>
      <c r="BM497" s="72"/>
      <c r="BN497" s="72"/>
      <c r="BO497" s="72"/>
      <c r="BP497" s="72"/>
      <c r="BQ497" s="72"/>
      <c r="BR497" s="72"/>
      <c r="BS497" s="72"/>
      <c r="BT497" s="72"/>
      <c r="BU497" s="72"/>
      <c r="BV497" s="72"/>
      <c r="BW497" s="72"/>
      <c r="BX497" s="72"/>
      <c r="BY497" s="72"/>
      <c r="BZ497" s="72"/>
      <c r="CA497" s="72"/>
      <c r="CB497" s="72"/>
      <c r="CC497" s="72"/>
    </row>
    <row r="498" ht="21.0" customHeight="1">
      <c r="A498" s="12"/>
      <c r="B498" s="108"/>
      <c r="C498" s="108"/>
      <c r="D498" s="11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  <c r="AQ498" s="72"/>
      <c r="AR498" s="72"/>
      <c r="AS498" s="72"/>
      <c r="AT498" s="72"/>
      <c r="AU498" s="72"/>
      <c r="AV498" s="72"/>
      <c r="AW498" s="72"/>
      <c r="AX498" s="72"/>
      <c r="AY498" s="72"/>
      <c r="AZ498" s="72"/>
      <c r="BA498" s="72"/>
      <c r="BB498" s="72"/>
      <c r="BC498" s="72"/>
      <c r="BD498" s="72"/>
      <c r="BE498" s="72"/>
      <c r="BF498" s="72"/>
      <c r="BG498" s="72"/>
      <c r="BH498" s="72"/>
      <c r="BI498" s="72"/>
      <c r="BJ498" s="72"/>
      <c r="BK498" s="72"/>
      <c r="BL498" s="72"/>
      <c r="BM498" s="72"/>
      <c r="BN498" s="72"/>
      <c r="BO498" s="72"/>
      <c r="BP498" s="72"/>
      <c r="BQ498" s="72"/>
      <c r="BR498" s="72"/>
      <c r="BS498" s="72"/>
      <c r="BT498" s="72"/>
      <c r="BU498" s="72"/>
      <c r="BV498" s="72"/>
      <c r="BW498" s="72"/>
      <c r="BX498" s="72"/>
      <c r="BY498" s="72"/>
      <c r="BZ498" s="72"/>
      <c r="CA498" s="72"/>
      <c r="CB498" s="72"/>
      <c r="CC498" s="72"/>
    </row>
    <row r="499" ht="21.0" customHeight="1">
      <c r="A499" s="12"/>
      <c r="B499" s="108"/>
      <c r="C499" s="108"/>
      <c r="D499" s="11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  <c r="AQ499" s="72"/>
      <c r="AR499" s="72"/>
      <c r="AS499" s="72"/>
      <c r="AT499" s="72"/>
      <c r="AU499" s="72"/>
      <c r="AV499" s="72"/>
      <c r="AW499" s="72"/>
      <c r="AX499" s="72"/>
      <c r="AY499" s="72"/>
      <c r="AZ499" s="72"/>
      <c r="BA499" s="72"/>
      <c r="BB499" s="72"/>
      <c r="BC499" s="72"/>
      <c r="BD499" s="72"/>
      <c r="BE499" s="72"/>
      <c r="BF499" s="72"/>
      <c r="BG499" s="72"/>
      <c r="BH499" s="72"/>
      <c r="BI499" s="72"/>
      <c r="BJ499" s="72"/>
      <c r="BK499" s="72"/>
      <c r="BL499" s="72"/>
      <c r="BM499" s="72"/>
      <c r="BN499" s="72"/>
      <c r="BO499" s="72"/>
      <c r="BP499" s="72"/>
      <c r="BQ499" s="72"/>
      <c r="BR499" s="72"/>
      <c r="BS499" s="72"/>
      <c r="BT499" s="72"/>
      <c r="BU499" s="72"/>
      <c r="BV499" s="72"/>
      <c r="BW499" s="72"/>
      <c r="BX499" s="72"/>
      <c r="BY499" s="72"/>
      <c r="BZ499" s="72"/>
      <c r="CA499" s="72"/>
      <c r="CB499" s="72"/>
      <c r="CC499" s="72"/>
    </row>
    <row r="500" ht="21.0" customHeight="1">
      <c r="A500" s="12"/>
      <c r="B500" s="108"/>
      <c r="C500" s="108"/>
      <c r="D500" s="11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  <c r="AQ500" s="72"/>
      <c r="AR500" s="72"/>
      <c r="AS500" s="72"/>
      <c r="AT500" s="72"/>
      <c r="AU500" s="72"/>
      <c r="AV500" s="72"/>
      <c r="AW500" s="72"/>
      <c r="AX500" s="72"/>
      <c r="AY500" s="72"/>
      <c r="AZ500" s="72"/>
      <c r="BA500" s="72"/>
      <c r="BB500" s="72"/>
      <c r="BC500" s="72"/>
      <c r="BD500" s="72"/>
      <c r="BE500" s="72"/>
      <c r="BF500" s="72"/>
      <c r="BG500" s="72"/>
      <c r="BH500" s="72"/>
      <c r="BI500" s="72"/>
      <c r="BJ500" s="72"/>
      <c r="BK500" s="72"/>
      <c r="BL500" s="72"/>
      <c r="BM500" s="72"/>
      <c r="BN500" s="72"/>
      <c r="BO500" s="72"/>
      <c r="BP500" s="72"/>
      <c r="BQ500" s="72"/>
      <c r="BR500" s="72"/>
      <c r="BS500" s="72"/>
      <c r="BT500" s="72"/>
      <c r="BU500" s="72"/>
      <c r="BV500" s="72"/>
      <c r="BW500" s="72"/>
      <c r="BX500" s="72"/>
      <c r="BY500" s="72"/>
      <c r="BZ500" s="72"/>
      <c r="CA500" s="72"/>
      <c r="CB500" s="72"/>
      <c r="CC500" s="72"/>
    </row>
    <row r="501" ht="21.0" customHeight="1">
      <c r="A501" s="12"/>
      <c r="B501" s="108"/>
      <c r="C501" s="108"/>
      <c r="D501" s="11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  <c r="AQ501" s="72"/>
      <c r="AR501" s="72"/>
      <c r="AS501" s="72"/>
      <c r="AT501" s="72"/>
      <c r="AU501" s="72"/>
      <c r="AV501" s="72"/>
      <c r="AW501" s="72"/>
      <c r="AX501" s="72"/>
      <c r="AY501" s="72"/>
      <c r="AZ501" s="72"/>
      <c r="BA501" s="72"/>
      <c r="BB501" s="72"/>
      <c r="BC501" s="72"/>
      <c r="BD501" s="72"/>
      <c r="BE501" s="72"/>
      <c r="BF501" s="72"/>
      <c r="BG501" s="72"/>
      <c r="BH501" s="72"/>
      <c r="BI501" s="72"/>
      <c r="BJ501" s="72"/>
      <c r="BK501" s="72"/>
      <c r="BL501" s="72"/>
      <c r="BM501" s="72"/>
      <c r="BN501" s="72"/>
      <c r="BO501" s="72"/>
      <c r="BP501" s="72"/>
      <c r="BQ501" s="72"/>
      <c r="BR501" s="72"/>
      <c r="BS501" s="72"/>
      <c r="BT501" s="72"/>
      <c r="BU501" s="72"/>
      <c r="BV501" s="72"/>
      <c r="BW501" s="72"/>
      <c r="BX501" s="72"/>
      <c r="BY501" s="72"/>
      <c r="BZ501" s="72"/>
      <c r="CA501" s="72"/>
      <c r="CB501" s="72"/>
      <c r="CC501" s="72"/>
    </row>
    <row r="502" ht="21.0" customHeight="1">
      <c r="A502" s="12"/>
      <c r="B502" s="108"/>
      <c r="C502" s="108"/>
      <c r="D502" s="11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  <c r="AQ502" s="72"/>
      <c r="AR502" s="72"/>
      <c r="AS502" s="72"/>
      <c r="AT502" s="72"/>
      <c r="AU502" s="72"/>
      <c r="AV502" s="72"/>
      <c r="AW502" s="72"/>
      <c r="AX502" s="72"/>
      <c r="AY502" s="72"/>
      <c r="AZ502" s="72"/>
      <c r="BA502" s="72"/>
      <c r="BB502" s="72"/>
      <c r="BC502" s="72"/>
      <c r="BD502" s="72"/>
      <c r="BE502" s="72"/>
      <c r="BF502" s="72"/>
      <c r="BG502" s="72"/>
      <c r="BH502" s="72"/>
      <c r="BI502" s="72"/>
      <c r="BJ502" s="72"/>
      <c r="BK502" s="72"/>
      <c r="BL502" s="72"/>
      <c r="BM502" s="72"/>
      <c r="BN502" s="72"/>
      <c r="BO502" s="72"/>
      <c r="BP502" s="72"/>
      <c r="BQ502" s="72"/>
      <c r="BR502" s="72"/>
      <c r="BS502" s="72"/>
      <c r="BT502" s="72"/>
      <c r="BU502" s="72"/>
      <c r="BV502" s="72"/>
      <c r="BW502" s="72"/>
      <c r="BX502" s="72"/>
      <c r="BY502" s="72"/>
      <c r="BZ502" s="72"/>
      <c r="CA502" s="72"/>
      <c r="CB502" s="72"/>
      <c r="CC502" s="72"/>
    </row>
    <row r="503" ht="21.0" customHeight="1">
      <c r="A503" s="12"/>
      <c r="B503" s="108"/>
      <c r="C503" s="108"/>
      <c r="D503" s="11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  <c r="AQ503" s="72"/>
      <c r="AR503" s="72"/>
      <c r="AS503" s="72"/>
      <c r="AT503" s="72"/>
      <c r="AU503" s="72"/>
      <c r="AV503" s="72"/>
      <c r="AW503" s="72"/>
      <c r="AX503" s="72"/>
      <c r="AY503" s="72"/>
      <c r="AZ503" s="72"/>
      <c r="BA503" s="72"/>
      <c r="BB503" s="72"/>
      <c r="BC503" s="72"/>
      <c r="BD503" s="72"/>
      <c r="BE503" s="72"/>
      <c r="BF503" s="72"/>
      <c r="BG503" s="72"/>
      <c r="BH503" s="72"/>
      <c r="BI503" s="72"/>
      <c r="BJ503" s="72"/>
      <c r="BK503" s="72"/>
      <c r="BL503" s="72"/>
      <c r="BM503" s="72"/>
      <c r="BN503" s="72"/>
      <c r="BO503" s="72"/>
      <c r="BP503" s="72"/>
      <c r="BQ503" s="72"/>
      <c r="BR503" s="72"/>
      <c r="BS503" s="72"/>
      <c r="BT503" s="72"/>
      <c r="BU503" s="72"/>
      <c r="BV503" s="72"/>
      <c r="BW503" s="72"/>
      <c r="BX503" s="72"/>
      <c r="BY503" s="72"/>
      <c r="BZ503" s="72"/>
      <c r="CA503" s="72"/>
      <c r="CB503" s="72"/>
      <c r="CC503" s="72"/>
    </row>
    <row r="504" ht="21.0" customHeight="1">
      <c r="A504" s="12"/>
      <c r="B504" s="108"/>
      <c r="C504" s="108"/>
      <c r="D504" s="11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  <c r="AQ504" s="72"/>
      <c r="AR504" s="72"/>
      <c r="AS504" s="72"/>
      <c r="AT504" s="72"/>
      <c r="AU504" s="72"/>
      <c r="AV504" s="72"/>
      <c r="AW504" s="72"/>
      <c r="AX504" s="72"/>
      <c r="AY504" s="72"/>
      <c r="AZ504" s="72"/>
      <c r="BA504" s="72"/>
      <c r="BB504" s="72"/>
      <c r="BC504" s="72"/>
      <c r="BD504" s="72"/>
      <c r="BE504" s="72"/>
      <c r="BF504" s="72"/>
      <c r="BG504" s="72"/>
      <c r="BH504" s="72"/>
      <c r="BI504" s="72"/>
      <c r="BJ504" s="72"/>
      <c r="BK504" s="72"/>
      <c r="BL504" s="72"/>
      <c r="BM504" s="72"/>
      <c r="BN504" s="72"/>
      <c r="BO504" s="72"/>
      <c r="BP504" s="72"/>
      <c r="BQ504" s="72"/>
      <c r="BR504" s="72"/>
      <c r="BS504" s="72"/>
      <c r="BT504" s="72"/>
      <c r="BU504" s="72"/>
      <c r="BV504" s="72"/>
      <c r="BW504" s="72"/>
      <c r="BX504" s="72"/>
      <c r="BY504" s="72"/>
      <c r="BZ504" s="72"/>
      <c r="CA504" s="72"/>
      <c r="CB504" s="72"/>
      <c r="CC504" s="72"/>
    </row>
    <row r="505" ht="21.0" customHeight="1">
      <c r="A505" s="12"/>
      <c r="B505" s="107"/>
      <c r="C505" s="107"/>
      <c r="D505" s="11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  <c r="AQ505" s="72"/>
      <c r="AR505" s="72"/>
      <c r="AS505" s="72"/>
      <c r="AT505" s="72"/>
      <c r="AU505" s="72"/>
      <c r="AV505" s="72"/>
      <c r="AW505" s="72"/>
      <c r="AX505" s="72"/>
      <c r="AY505" s="72"/>
      <c r="AZ505" s="72"/>
      <c r="BA505" s="72"/>
      <c r="BB505" s="72"/>
      <c r="BC505" s="72"/>
      <c r="BD505" s="72"/>
      <c r="BE505" s="72"/>
      <c r="BF505" s="72"/>
      <c r="BG505" s="72"/>
      <c r="BH505" s="72"/>
      <c r="BI505" s="72"/>
      <c r="BJ505" s="72"/>
      <c r="BK505" s="72"/>
      <c r="BL505" s="72"/>
      <c r="BM505" s="72"/>
      <c r="BN505" s="72"/>
      <c r="BO505" s="72"/>
      <c r="BP505" s="72"/>
      <c r="BQ505" s="72"/>
      <c r="BR505" s="72"/>
      <c r="BS505" s="72"/>
      <c r="BT505" s="72"/>
      <c r="BU505" s="72"/>
      <c r="BV505" s="72"/>
      <c r="BW505" s="72"/>
      <c r="BX505" s="72"/>
      <c r="BY505" s="72"/>
      <c r="BZ505" s="72"/>
      <c r="CA505" s="72"/>
      <c r="CB505" s="72"/>
      <c r="CC505" s="72"/>
    </row>
    <row r="506" ht="21.0" customHeight="1">
      <c r="A506" s="12"/>
      <c r="B506" s="108"/>
      <c r="C506" s="108"/>
      <c r="D506" s="11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  <c r="AQ506" s="72"/>
      <c r="AR506" s="72"/>
      <c r="AS506" s="72"/>
      <c r="AT506" s="72"/>
      <c r="AU506" s="72"/>
      <c r="AV506" s="72"/>
      <c r="AW506" s="72"/>
      <c r="AX506" s="72"/>
      <c r="AY506" s="72"/>
      <c r="AZ506" s="72"/>
      <c r="BA506" s="72"/>
      <c r="BB506" s="72"/>
      <c r="BC506" s="72"/>
      <c r="BD506" s="72"/>
      <c r="BE506" s="72"/>
      <c r="BF506" s="72"/>
      <c r="BG506" s="72"/>
      <c r="BH506" s="72"/>
      <c r="BI506" s="72"/>
      <c r="BJ506" s="72"/>
      <c r="BK506" s="72"/>
      <c r="BL506" s="72"/>
      <c r="BM506" s="72"/>
      <c r="BN506" s="72"/>
      <c r="BO506" s="72"/>
      <c r="BP506" s="72"/>
      <c r="BQ506" s="72"/>
      <c r="BR506" s="72"/>
      <c r="BS506" s="72"/>
      <c r="BT506" s="72"/>
      <c r="BU506" s="72"/>
      <c r="BV506" s="72"/>
      <c r="BW506" s="72"/>
      <c r="BX506" s="72"/>
      <c r="BY506" s="72"/>
      <c r="BZ506" s="72"/>
      <c r="CA506" s="72"/>
      <c r="CB506" s="72"/>
      <c r="CC506" s="72"/>
    </row>
    <row r="507" ht="21.0" customHeight="1">
      <c r="A507" s="12"/>
      <c r="B507" s="108"/>
      <c r="C507" s="108"/>
      <c r="D507" s="11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  <c r="AQ507" s="72"/>
      <c r="AR507" s="72"/>
      <c r="AS507" s="72"/>
      <c r="AT507" s="72"/>
      <c r="AU507" s="72"/>
      <c r="AV507" s="72"/>
      <c r="AW507" s="72"/>
      <c r="AX507" s="72"/>
      <c r="AY507" s="72"/>
      <c r="AZ507" s="72"/>
      <c r="BA507" s="72"/>
      <c r="BB507" s="72"/>
      <c r="BC507" s="72"/>
      <c r="BD507" s="72"/>
      <c r="BE507" s="72"/>
      <c r="BF507" s="72"/>
      <c r="BG507" s="72"/>
      <c r="BH507" s="72"/>
      <c r="BI507" s="72"/>
      <c r="BJ507" s="72"/>
      <c r="BK507" s="72"/>
      <c r="BL507" s="72"/>
      <c r="BM507" s="72"/>
      <c r="BN507" s="72"/>
      <c r="BO507" s="72"/>
      <c r="BP507" s="72"/>
      <c r="BQ507" s="72"/>
      <c r="BR507" s="72"/>
      <c r="BS507" s="72"/>
      <c r="BT507" s="72"/>
      <c r="BU507" s="72"/>
      <c r="BV507" s="72"/>
      <c r="BW507" s="72"/>
      <c r="BX507" s="72"/>
      <c r="BY507" s="72"/>
      <c r="BZ507" s="72"/>
      <c r="CA507" s="72"/>
      <c r="CB507" s="72"/>
      <c r="CC507" s="72"/>
    </row>
    <row r="508" ht="21.0" customHeight="1">
      <c r="A508" s="12"/>
      <c r="B508" s="108"/>
      <c r="C508" s="108"/>
      <c r="D508" s="11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  <c r="AQ508" s="72"/>
      <c r="AR508" s="72"/>
      <c r="AS508" s="72"/>
      <c r="AT508" s="72"/>
      <c r="AU508" s="72"/>
      <c r="AV508" s="72"/>
      <c r="AW508" s="72"/>
      <c r="AX508" s="72"/>
      <c r="AY508" s="72"/>
      <c r="AZ508" s="72"/>
      <c r="BA508" s="72"/>
      <c r="BB508" s="72"/>
      <c r="BC508" s="72"/>
      <c r="BD508" s="72"/>
      <c r="BE508" s="72"/>
      <c r="BF508" s="72"/>
      <c r="BG508" s="72"/>
      <c r="BH508" s="72"/>
      <c r="BI508" s="72"/>
      <c r="BJ508" s="72"/>
      <c r="BK508" s="72"/>
      <c r="BL508" s="72"/>
      <c r="BM508" s="72"/>
      <c r="BN508" s="72"/>
      <c r="BO508" s="72"/>
      <c r="BP508" s="72"/>
      <c r="BQ508" s="72"/>
      <c r="BR508" s="72"/>
      <c r="BS508" s="72"/>
      <c r="BT508" s="72"/>
      <c r="BU508" s="72"/>
      <c r="BV508" s="72"/>
      <c r="BW508" s="72"/>
      <c r="BX508" s="72"/>
      <c r="BY508" s="72"/>
      <c r="BZ508" s="72"/>
      <c r="CA508" s="72"/>
      <c r="CB508" s="72"/>
      <c r="CC508" s="72"/>
    </row>
    <row r="509" ht="21.0" customHeight="1">
      <c r="A509" s="12"/>
      <c r="B509" s="108"/>
      <c r="C509" s="108"/>
      <c r="D509" s="11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  <c r="AQ509" s="72"/>
      <c r="AR509" s="72"/>
      <c r="AS509" s="72"/>
      <c r="AT509" s="72"/>
      <c r="AU509" s="72"/>
      <c r="AV509" s="72"/>
      <c r="AW509" s="72"/>
      <c r="AX509" s="72"/>
      <c r="AY509" s="72"/>
      <c r="AZ509" s="72"/>
      <c r="BA509" s="72"/>
      <c r="BB509" s="72"/>
      <c r="BC509" s="72"/>
      <c r="BD509" s="72"/>
      <c r="BE509" s="72"/>
      <c r="BF509" s="72"/>
      <c r="BG509" s="72"/>
      <c r="BH509" s="72"/>
      <c r="BI509" s="72"/>
      <c r="BJ509" s="72"/>
      <c r="BK509" s="72"/>
      <c r="BL509" s="72"/>
      <c r="BM509" s="72"/>
      <c r="BN509" s="72"/>
      <c r="BO509" s="72"/>
      <c r="BP509" s="72"/>
      <c r="BQ509" s="72"/>
      <c r="BR509" s="72"/>
      <c r="BS509" s="72"/>
      <c r="BT509" s="72"/>
      <c r="BU509" s="72"/>
      <c r="BV509" s="72"/>
      <c r="BW509" s="72"/>
      <c r="BX509" s="72"/>
      <c r="BY509" s="72"/>
      <c r="BZ509" s="72"/>
      <c r="CA509" s="72"/>
      <c r="CB509" s="72"/>
      <c r="CC509" s="72"/>
    </row>
    <row r="510" ht="21.0" customHeight="1">
      <c r="A510" s="12"/>
      <c r="B510" s="107"/>
      <c r="C510" s="107"/>
      <c r="D510" s="11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  <c r="AQ510" s="72"/>
      <c r="AR510" s="72"/>
      <c r="AS510" s="72"/>
      <c r="AT510" s="72"/>
      <c r="AU510" s="72"/>
      <c r="AV510" s="72"/>
      <c r="AW510" s="72"/>
      <c r="AX510" s="72"/>
      <c r="AY510" s="72"/>
      <c r="AZ510" s="72"/>
      <c r="BA510" s="72"/>
      <c r="BB510" s="72"/>
      <c r="BC510" s="72"/>
      <c r="BD510" s="72"/>
      <c r="BE510" s="72"/>
      <c r="BF510" s="72"/>
      <c r="BG510" s="72"/>
      <c r="BH510" s="72"/>
      <c r="BI510" s="72"/>
      <c r="BJ510" s="72"/>
      <c r="BK510" s="72"/>
      <c r="BL510" s="72"/>
      <c r="BM510" s="72"/>
      <c r="BN510" s="72"/>
      <c r="BO510" s="72"/>
      <c r="BP510" s="72"/>
      <c r="BQ510" s="72"/>
      <c r="BR510" s="72"/>
      <c r="BS510" s="72"/>
      <c r="BT510" s="72"/>
      <c r="BU510" s="72"/>
      <c r="BV510" s="72"/>
      <c r="BW510" s="72"/>
      <c r="BX510" s="72"/>
      <c r="BY510" s="72"/>
      <c r="BZ510" s="72"/>
      <c r="CA510" s="72"/>
      <c r="CB510" s="72"/>
      <c r="CC510" s="72"/>
    </row>
    <row r="511" ht="21.0" customHeight="1">
      <c r="A511" s="12"/>
      <c r="B511" s="108"/>
      <c r="C511" s="108"/>
      <c r="D511" s="11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  <c r="AQ511" s="72"/>
      <c r="AR511" s="72"/>
      <c r="AS511" s="72"/>
      <c r="AT511" s="72"/>
      <c r="AU511" s="72"/>
      <c r="AV511" s="72"/>
      <c r="AW511" s="72"/>
      <c r="AX511" s="72"/>
      <c r="AY511" s="72"/>
      <c r="AZ511" s="72"/>
      <c r="BA511" s="72"/>
      <c r="BB511" s="72"/>
      <c r="BC511" s="72"/>
      <c r="BD511" s="72"/>
      <c r="BE511" s="72"/>
      <c r="BF511" s="72"/>
      <c r="BG511" s="72"/>
      <c r="BH511" s="72"/>
      <c r="BI511" s="72"/>
      <c r="BJ511" s="72"/>
      <c r="BK511" s="72"/>
      <c r="BL511" s="72"/>
      <c r="BM511" s="72"/>
      <c r="BN511" s="72"/>
      <c r="BO511" s="72"/>
      <c r="BP511" s="72"/>
      <c r="BQ511" s="72"/>
      <c r="BR511" s="72"/>
      <c r="BS511" s="72"/>
      <c r="BT511" s="72"/>
      <c r="BU511" s="72"/>
      <c r="BV511" s="72"/>
      <c r="BW511" s="72"/>
      <c r="BX511" s="72"/>
      <c r="BY511" s="72"/>
      <c r="BZ511" s="72"/>
      <c r="CA511" s="72"/>
      <c r="CB511" s="72"/>
      <c r="CC511" s="72"/>
    </row>
    <row r="512" ht="21.0" customHeight="1">
      <c r="A512" s="12"/>
      <c r="B512" s="108"/>
      <c r="C512" s="108"/>
      <c r="D512" s="11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  <c r="AR512" s="72"/>
      <c r="AS512" s="72"/>
      <c r="AT512" s="72"/>
      <c r="AU512" s="72"/>
      <c r="AV512" s="72"/>
      <c r="AW512" s="72"/>
      <c r="AX512" s="72"/>
      <c r="AY512" s="72"/>
      <c r="AZ512" s="72"/>
      <c r="BA512" s="72"/>
      <c r="BB512" s="72"/>
      <c r="BC512" s="72"/>
      <c r="BD512" s="72"/>
      <c r="BE512" s="72"/>
      <c r="BF512" s="72"/>
      <c r="BG512" s="72"/>
      <c r="BH512" s="72"/>
      <c r="BI512" s="72"/>
      <c r="BJ512" s="72"/>
      <c r="BK512" s="72"/>
      <c r="BL512" s="72"/>
      <c r="BM512" s="72"/>
      <c r="BN512" s="72"/>
      <c r="BO512" s="72"/>
      <c r="BP512" s="72"/>
      <c r="BQ512" s="72"/>
      <c r="BR512" s="72"/>
      <c r="BS512" s="72"/>
      <c r="BT512" s="72"/>
      <c r="BU512" s="72"/>
      <c r="BV512" s="72"/>
      <c r="BW512" s="72"/>
      <c r="BX512" s="72"/>
      <c r="BY512" s="72"/>
      <c r="BZ512" s="72"/>
      <c r="CA512" s="72"/>
      <c r="CB512" s="72"/>
      <c r="CC512" s="72"/>
    </row>
    <row r="513" ht="21.0" customHeight="1">
      <c r="A513" s="12"/>
      <c r="B513" s="108"/>
      <c r="C513" s="108"/>
      <c r="D513" s="11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  <c r="AQ513" s="72"/>
      <c r="AR513" s="72"/>
      <c r="AS513" s="72"/>
      <c r="AT513" s="72"/>
      <c r="AU513" s="72"/>
      <c r="AV513" s="72"/>
      <c r="AW513" s="72"/>
      <c r="AX513" s="72"/>
      <c r="AY513" s="72"/>
      <c r="AZ513" s="72"/>
      <c r="BA513" s="72"/>
      <c r="BB513" s="72"/>
      <c r="BC513" s="72"/>
      <c r="BD513" s="72"/>
      <c r="BE513" s="72"/>
      <c r="BF513" s="72"/>
      <c r="BG513" s="72"/>
      <c r="BH513" s="72"/>
      <c r="BI513" s="72"/>
      <c r="BJ513" s="72"/>
      <c r="BK513" s="72"/>
      <c r="BL513" s="72"/>
      <c r="BM513" s="72"/>
      <c r="BN513" s="72"/>
      <c r="BO513" s="72"/>
      <c r="BP513" s="72"/>
      <c r="BQ513" s="72"/>
      <c r="BR513" s="72"/>
      <c r="BS513" s="72"/>
      <c r="BT513" s="72"/>
      <c r="BU513" s="72"/>
      <c r="BV513" s="72"/>
      <c r="BW513" s="72"/>
      <c r="BX513" s="72"/>
      <c r="BY513" s="72"/>
      <c r="BZ513" s="72"/>
      <c r="CA513" s="72"/>
      <c r="CB513" s="72"/>
      <c r="CC513" s="72"/>
    </row>
    <row r="514" ht="21.0" customHeight="1">
      <c r="A514" s="12"/>
      <c r="B514" s="108"/>
      <c r="C514" s="108"/>
      <c r="D514" s="11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  <c r="AQ514" s="72"/>
      <c r="AR514" s="72"/>
      <c r="AS514" s="72"/>
      <c r="AT514" s="72"/>
      <c r="AU514" s="72"/>
      <c r="AV514" s="72"/>
      <c r="AW514" s="72"/>
      <c r="AX514" s="72"/>
      <c r="AY514" s="72"/>
      <c r="AZ514" s="72"/>
      <c r="BA514" s="72"/>
      <c r="BB514" s="72"/>
      <c r="BC514" s="72"/>
      <c r="BD514" s="72"/>
      <c r="BE514" s="72"/>
      <c r="BF514" s="72"/>
      <c r="BG514" s="72"/>
      <c r="BH514" s="72"/>
      <c r="BI514" s="72"/>
      <c r="BJ514" s="72"/>
      <c r="BK514" s="72"/>
      <c r="BL514" s="72"/>
      <c r="BM514" s="72"/>
      <c r="BN514" s="72"/>
      <c r="BO514" s="72"/>
      <c r="BP514" s="72"/>
      <c r="BQ514" s="72"/>
      <c r="BR514" s="72"/>
      <c r="BS514" s="72"/>
      <c r="BT514" s="72"/>
      <c r="BU514" s="72"/>
      <c r="BV514" s="72"/>
      <c r="BW514" s="72"/>
      <c r="BX514" s="72"/>
      <c r="BY514" s="72"/>
      <c r="BZ514" s="72"/>
      <c r="CA514" s="72"/>
      <c r="CB514" s="72"/>
      <c r="CC514" s="72"/>
    </row>
    <row r="515" ht="21.0" customHeight="1">
      <c r="A515" s="12"/>
      <c r="B515" s="108"/>
      <c r="C515" s="108"/>
      <c r="D515" s="11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  <c r="AQ515" s="72"/>
      <c r="AR515" s="72"/>
      <c r="AS515" s="72"/>
      <c r="AT515" s="72"/>
      <c r="AU515" s="72"/>
      <c r="AV515" s="72"/>
      <c r="AW515" s="72"/>
      <c r="AX515" s="72"/>
      <c r="AY515" s="72"/>
      <c r="AZ515" s="72"/>
      <c r="BA515" s="72"/>
      <c r="BB515" s="72"/>
      <c r="BC515" s="72"/>
      <c r="BD515" s="72"/>
      <c r="BE515" s="72"/>
      <c r="BF515" s="72"/>
      <c r="BG515" s="72"/>
      <c r="BH515" s="72"/>
      <c r="BI515" s="72"/>
      <c r="BJ515" s="72"/>
      <c r="BK515" s="72"/>
      <c r="BL515" s="72"/>
      <c r="BM515" s="72"/>
      <c r="BN515" s="72"/>
      <c r="BO515" s="72"/>
      <c r="BP515" s="72"/>
      <c r="BQ515" s="72"/>
      <c r="BR515" s="72"/>
      <c r="BS515" s="72"/>
      <c r="BT515" s="72"/>
      <c r="BU515" s="72"/>
      <c r="BV515" s="72"/>
      <c r="BW515" s="72"/>
      <c r="BX515" s="72"/>
      <c r="BY515" s="72"/>
      <c r="BZ515" s="72"/>
      <c r="CA515" s="72"/>
      <c r="CB515" s="72"/>
      <c r="CC515" s="72"/>
    </row>
    <row r="516" ht="21.0" customHeight="1">
      <c r="A516" s="12"/>
      <c r="B516" s="108"/>
      <c r="C516" s="108"/>
      <c r="D516" s="11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  <c r="AQ516" s="72"/>
      <c r="AR516" s="72"/>
      <c r="AS516" s="72"/>
      <c r="AT516" s="72"/>
      <c r="AU516" s="72"/>
      <c r="AV516" s="72"/>
      <c r="AW516" s="72"/>
      <c r="AX516" s="72"/>
      <c r="AY516" s="72"/>
      <c r="AZ516" s="72"/>
      <c r="BA516" s="72"/>
      <c r="BB516" s="72"/>
      <c r="BC516" s="72"/>
      <c r="BD516" s="72"/>
      <c r="BE516" s="72"/>
      <c r="BF516" s="72"/>
      <c r="BG516" s="72"/>
      <c r="BH516" s="72"/>
      <c r="BI516" s="72"/>
      <c r="BJ516" s="72"/>
      <c r="BK516" s="72"/>
      <c r="BL516" s="72"/>
      <c r="BM516" s="72"/>
      <c r="BN516" s="72"/>
      <c r="BO516" s="72"/>
      <c r="BP516" s="72"/>
      <c r="BQ516" s="72"/>
      <c r="BR516" s="72"/>
      <c r="BS516" s="72"/>
      <c r="BT516" s="72"/>
      <c r="BU516" s="72"/>
      <c r="BV516" s="72"/>
      <c r="BW516" s="72"/>
      <c r="BX516" s="72"/>
      <c r="BY516" s="72"/>
      <c r="BZ516" s="72"/>
      <c r="CA516" s="72"/>
      <c r="CB516" s="72"/>
      <c r="CC516" s="72"/>
    </row>
    <row r="517" ht="21.0" customHeight="1">
      <c r="A517" s="12"/>
      <c r="B517" s="108"/>
      <c r="C517" s="108"/>
      <c r="D517" s="11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  <c r="AQ517" s="72"/>
      <c r="AR517" s="72"/>
      <c r="AS517" s="72"/>
      <c r="AT517" s="72"/>
      <c r="AU517" s="72"/>
      <c r="AV517" s="72"/>
      <c r="AW517" s="72"/>
      <c r="AX517" s="72"/>
      <c r="AY517" s="72"/>
      <c r="AZ517" s="72"/>
      <c r="BA517" s="72"/>
      <c r="BB517" s="72"/>
      <c r="BC517" s="72"/>
      <c r="BD517" s="72"/>
      <c r="BE517" s="72"/>
      <c r="BF517" s="72"/>
      <c r="BG517" s="72"/>
      <c r="BH517" s="72"/>
      <c r="BI517" s="72"/>
      <c r="BJ517" s="72"/>
      <c r="BK517" s="72"/>
      <c r="BL517" s="72"/>
      <c r="BM517" s="72"/>
      <c r="BN517" s="72"/>
      <c r="BO517" s="72"/>
      <c r="BP517" s="72"/>
      <c r="BQ517" s="72"/>
      <c r="BR517" s="72"/>
      <c r="BS517" s="72"/>
      <c r="BT517" s="72"/>
      <c r="BU517" s="72"/>
      <c r="BV517" s="72"/>
      <c r="BW517" s="72"/>
      <c r="BX517" s="72"/>
      <c r="BY517" s="72"/>
      <c r="BZ517" s="72"/>
      <c r="CA517" s="72"/>
      <c r="CB517" s="72"/>
      <c r="CC517" s="72"/>
    </row>
    <row r="518" ht="21.0" customHeight="1">
      <c r="A518" s="12"/>
      <c r="B518" s="108"/>
      <c r="C518" s="108"/>
      <c r="D518" s="11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  <c r="AQ518" s="72"/>
      <c r="AR518" s="72"/>
      <c r="AS518" s="72"/>
      <c r="AT518" s="72"/>
      <c r="AU518" s="72"/>
      <c r="AV518" s="72"/>
      <c r="AW518" s="72"/>
      <c r="AX518" s="72"/>
      <c r="AY518" s="72"/>
      <c r="AZ518" s="72"/>
      <c r="BA518" s="72"/>
      <c r="BB518" s="72"/>
      <c r="BC518" s="72"/>
      <c r="BD518" s="72"/>
      <c r="BE518" s="72"/>
      <c r="BF518" s="72"/>
      <c r="BG518" s="72"/>
      <c r="BH518" s="72"/>
      <c r="BI518" s="72"/>
      <c r="BJ518" s="72"/>
      <c r="BK518" s="72"/>
      <c r="BL518" s="72"/>
      <c r="BM518" s="72"/>
      <c r="BN518" s="72"/>
      <c r="BO518" s="72"/>
      <c r="BP518" s="72"/>
      <c r="BQ518" s="72"/>
      <c r="BR518" s="72"/>
      <c r="BS518" s="72"/>
      <c r="BT518" s="72"/>
      <c r="BU518" s="72"/>
      <c r="BV518" s="72"/>
      <c r="BW518" s="72"/>
      <c r="BX518" s="72"/>
      <c r="BY518" s="72"/>
      <c r="BZ518" s="72"/>
      <c r="CA518" s="72"/>
      <c r="CB518" s="72"/>
      <c r="CC518" s="72"/>
    </row>
    <row r="519" ht="21.0" customHeight="1">
      <c r="A519" s="12"/>
      <c r="B519" s="108"/>
      <c r="C519" s="108"/>
      <c r="D519" s="11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  <c r="AQ519" s="72"/>
      <c r="AR519" s="72"/>
      <c r="AS519" s="72"/>
      <c r="AT519" s="72"/>
      <c r="AU519" s="72"/>
      <c r="AV519" s="72"/>
      <c r="AW519" s="72"/>
      <c r="AX519" s="72"/>
      <c r="AY519" s="72"/>
      <c r="AZ519" s="72"/>
      <c r="BA519" s="72"/>
      <c r="BB519" s="72"/>
      <c r="BC519" s="72"/>
      <c r="BD519" s="72"/>
      <c r="BE519" s="72"/>
      <c r="BF519" s="72"/>
      <c r="BG519" s="72"/>
      <c r="BH519" s="72"/>
      <c r="BI519" s="72"/>
      <c r="BJ519" s="72"/>
      <c r="BK519" s="72"/>
      <c r="BL519" s="72"/>
      <c r="BM519" s="72"/>
      <c r="BN519" s="72"/>
      <c r="BO519" s="72"/>
      <c r="BP519" s="72"/>
      <c r="BQ519" s="72"/>
      <c r="BR519" s="72"/>
      <c r="BS519" s="72"/>
      <c r="BT519" s="72"/>
      <c r="BU519" s="72"/>
      <c r="BV519" s="72"/>
      <c r="BW519" s="72"/>
      <c r="BX519" s="72"/>
      <c r="BY519" s="72"/>
      <c r="BZ519" s="72"/>
      <c r="CA519" s="72"/>
      <c r="CB519" s="72"/>
      <c r="CC519" s="72"/>
    </row>
    <row r="520" ht="21.0" customHeight="1">
      <c r="A520" s="12"/>
      <c r="B520" s="108"/>
      <c r="C520" s="108"/>
      <c r="D520" s="11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  <c r="AQ520" s="72"/>
      <c r="AR520" s="72"/>
      <c r="AS520" s="72"/>
      <c r="AT520" s="72"/>
      <c r="AU520" s="72"/>
      <c r="AV520" s="72"/>
      <c r="AW520" s="72"/>
      <c r="AX520" s="72"/>
      <c r="AY520" s="72"/>
      <c r="AZ520" s="72"/>
      <c r="BA520" s="72"/>
      <c r="BB520" s="72"/>
      <c r="BC520" s="72"/>
      <c r="BD520" s="72"/>
      <c r="BE520" s="72"/>
      <c r="BF520" s="72"/>
      <c r="BG520" s="72"/>
      <c r="BH520" s="72"/>
      <c r="BI520" s="72"/>
      <c r="BJ520" s="72"/>
      <c r="BK520" s="72"/>
      <c r="BL520" s="72"/>
      <c r="BM520" s="72"/>
      <c r="BN520" s="72"/>
      <c r="BO520" s="72"/>
      <c r="BP520" s="72"/>
      <c r="BQ520" s="72"/>
      <c r="BR520" s="72"/>
      <c r="BS520" s="72"/>
      <c r="BT520" s="72"/>
      <c r="BU520" s="72"/>
      <c r="BV520" s="72"/>
      <c r="BW520" s="72"/>
      <c r="BX520" s="72"/>
      <c r="BY520" s="72"/>
      <c r="BZ520" s="72"/>
      <c r="CA520" s="72"/>
      <c r="CB520" s="72"/>
      <c r="CC520" s="72"/>
    </row>
    <row r="521" ht="21.0" customHeight="1">
      <c r="A521" s="12"/>
      <c r="B521" s="108"/>
      <c r="C521" s="108"/>
      <c r="D521" s="11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  <c r="AQ521" s="72"/>
      <c r="AR521" s="72"/>
      <c r="AS521" s="72"/>
      <c r="AT521" s="72"/>
      <c r="AU521" s="72"/>
      <c r="AV521" s="72"/>
      <c r="AW521" s="72"/>
      <c r="AX521" s="72"/>
      <c r="AY521" s="72"/>
      <c r="AZ521" s="72"/>
      <c r="BA521" s="72"/>
      <c r="BB521" s="72"/>
      <c r="BC521" s="72"/>
      <c r="BD521" s="72"/>
      <c r="BE521" s="72"/>
      <c r="BF521" s="72"/>
      <c r="BG521" s="72"/>
      <c r="BH521" s="72"/>
      <c r="BI521" s="72"/>
      <c r="BJ521" s="72"/>
      <c r="BK521" s="72"/>
      <c r="BL521" s="72"/>
      <c r="BM521" s="72"/>
      <c r="BN521" s="72"/>
      <c r="BO521" s="72"/>
      <c r="BP521" s="72"/>
      <c r="BQ521" s="72"/>
      <c r="BR521" s="72"/>
      <c r="BS521" s="72"/>
      <c r="BT521" s="72"/>
      <c r="BU521" s="72"/>
      <c r="BV521" s="72"/>
      <c r="BW521" s="72"/>
      <c r="BX521" s="72"/>
      <c r="BY521" s="72"/>
      <c r="BZ521" s="72"/>
      <c r="CA521" s="72"/>
      <c r="CB521" s="72"/>
      <c r="CC521" s="72"/>
    </row>
    <row r="522" ht="21.0" customHeight="1">
      <c r="A522" s="12"/>
      <c r="B522" s="108"/>
      <c r="C522" s="108"/>
      <c r="D522" s="11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  <c r="AQ522" s="72"/>
      <c r="AR522" s="72"/>
      <c r="AS522" s="72"/>
      <c r="AT522" s="72"/>
      <c r="AU522" s="72"/>
      <c r="AV522" s="72"/>
      <c r="AW522" s="72"/>
      <c r="AX522" s="72"/>
      <c r="AY522" s="72"/>
      <c r="AZ522" s="72"/>
      <c r="BA522" s="72"/>
      <c r="BB522" s="72"/>
      <c r="BC522" s="72"/>
      <c r="BD522" s="72"/>
      <c r="BE522" s="72"/>
      <c r="BF522" s="72"/>
      <c r="BG522" s="72"/>
      <c r="BH522" s="72"/>
      <c r="BI522" s="72"/>
      <c r="BJ522" s="72"/>
      <c r="BK522" s="72"/>
      <c r="BL522" s="72"/>
      <c r="BM522" s="72"/>
      <c r="BN522" s="72"/>
      <c r="BO522" s="72"/>
      <c r="BP522" s="72"/>
      <c r="BQ522" s="72"/>
      <c r="BR522" s="72"/>
      <c r="BS522" s="72"/>
      <c r="BT522" s="72"/>
      <c r="BU522" s="72"/>
      <c r="BV522" s="72"/>
      <c r="BW522" s="72"/>
      <c r="BX522" s="72"/>
      <c r="BY522" s="72"/>
      <c r="BZ522" s="72"/>
      <c r="CA522" s="72"/>
      <c r="CB522" s="72"/>
      <c r="CC522" s="72"/>
    </row>
    <row r="523" ht="21.0" customHeight="1">
      <c r="A523" s="12"/>
      <c r="B523" s="108"/>
      <c r="C523" s="108"/>
      <c r="D523" s="11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  <c r="AQ523" s="72"/>
      <c r="AR523" s="72"/>
      <c r="AS523" s="72"/>
      <c r="AT523" s="72"/>
      <c r="AU523" s="72"/>
      <c r="AV523" s="72"/>
      <c r="AW523" s="72"/>
      <c r="AX523" s="72"/>
      <c r="AY523" s="72"/>
      <c r="AZ523" s="72"/>
      <c r="BA523" s="72"/>
      <c r="BB523" s="72"/>
      <c r="BC523" s="72"/>
      <c r="BD523" s="72"/>
      <c r="BE523" s="72"/>
      <c r="BF523" s="72"/>
      <c r="BG523" s="72"/>
      <c r="BH523" s="72"/>
      <c r="BI523" s="72"/>
      <c r="BJ523" s="72"/>
      <c r="BK523" s="72"/>
      <c r="BL523" s="72"/>
      <c r="BM523" s="72"/>
      <c r="BN523" s="72"/>
      <c r="BO523" s="72"/>
      <c r="BP523" s="72"/>
      <c r="BQ523" s="72"/>
      <c r="BR523" s="72"/>
      <c r="BS523" s="72"/>
      <c r="BT523" s="72"/>
      <c r="BU523" s="72"/>
      <c r="BV523" s="72"/>
      <c r="BW523" s="72"/>
      <c r="BX523" s="72"/>
      <c r="BY523" s="72"/>
      <c r="BZ523" s="72"/>
      <c r="CA523" s="72"/>
      <c r="CB523" s="72"/>
      <c r="CC523" s="72"/>
    </row>
    <row r="524" ht="21.0" customHeight="1">
      <c r="A524" s="12"/>
      <c r="B524" s="108"/>
      <c r="C524" s="108"/>
      <c r="D524" s="11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  <c r="AQ524" s="72"/>
      <c r="AR524" s="72"/>
      <c r="AS524" s="72"/>
      <c r="AT524" s="72"/>
      <c r="AU524" s="72"/>
      <c r="AV524" s="72"/>
      <c r="AW524" s="72"/>
      <c r="AX524" s="72"/>
      <c r="AY524" s="72"/>
      <c r="AZ524" s="72"/>
      <c r="BA524" s="72"/>
      <c r="BB524" s="72"/>
      <c r="BC524" s="72"/>
      <c r="BD524" s="72"/>
      <c r="BE524" s="72"/>
      <c r="BF524" s="72"/>
      <c r="BG524" s="72"/>
      <c r="BH524" s="72"/>
      <c r="BI524" s="72"/>
      <c r="BJ524" s="72"/>
      <c r="BK524" s="72"/>
      <c r="BL524" s="72"/>
      <c r="BM524" s="72"/>
      <c r="BN524" s="72"/>
      <c r="BO524" s="72"/>
      <c r="BP524" s="72"/>
      <c r="BQ524" s="72"/>
      <c r="BR524" s="72"/>
      <c r="BS524" s="72"/>
      <c r="BT524" s="72"/>
      <c r="BU524" s="72"/>
      <c r="BV524" s="72"/>
      <c r="BW524" s="72"/>
      <c r="BX524" s="72"/>
      <c r="BY524" s="72"/>
      <c r="BZ524" s="72"/>
      <c r="CA524" s="72"/>
      <c r="CB524" s="72"/>
      <c r="CC524" s="72"/>
    </row>
    <row r="525" ht="21.0" customHeight="1">
      <c r="A525" s="12"/>
      <c r="B525" s="108"/>
      <c r="C525" s="108"/>
      <c r="D525" s="11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  <c r="AQ525" s="72"/>
      <c r="AR525" s="72"/>
      <c r="AS525" s="72"/>
      <c r="AT525" s="72"/>
      <c r="AU525" s="72"/>
      <c r="AV525" s="72"/>
      <c r="AW525" s="72"/>
      <c r="AX525" s="72"/>
      <c r="AY525" s="72"/>
      <c r="AZ525" s="72"/>
      <c r="BA525" s="72"/>
      <c r="BB525" s="72"/>
      <c r="BC525" s="72"/>
      <c r="BD525" s="72"/>
      <c r="BE525" s="72"/>
      <c r="BF525" s="72"/>
      <c r="BG525" s="72"/>
      <c r="BH525" s="72"/>
      <c r="BI525" s="72"/>
      <c r="BJ525" s="72"/>
      <c r="BK525" s="72"/>
      <c r="BL525" s="72"/>
      <c r="BM525" s="72"/>
      <c r="BN525" s="72"/>
      <c r="BO525" s="72"/>
      <c r="BP525" s="72"/>
      <c r="BQ525" s="72"/>
      <c r="BR525" s="72"/>
      <c r="BS525" s="72"/>
      <c r="BT525" s="72"/>
      <c r="BU525" s="72"/>
      <c r="BV525" s="72"/>
      <c r="BW525" s="72"/>
      <c r="BX525" s="72"/>
      <c r="BY525" s="72"/>
      <c r="BZ525" s="72"/>
      <c r="CA525" s="72"/>
      <c r="CB525" s="72"/>
      <c r="CC525" s="72"/>
    </row>
    <row r="526" ht="21.0" customHeight="1">
      <c r="A526" s="12"/>
      <c r="B526" s="108"/>
      <c r="C526" s="108"/>
      <c r="D526" s="11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  <c r="AQ526" s="72"/>
      <c r="AR526" s="72"/>
      <c r="AS526" s="72"/>
      <c r="AT526" s="72"/>
      <c r="AU526" s="72"/>
      <c r="AV526" s="72"/>
      <c r="AW526" s="72"/>
      <c r="AX526" s="72"/>
      <c r="AY526" s="72"/>
      <c r="AZ526" s="72"/>
      <c r="BA526" s="72"/>
      <c r="BB526" s="72"/>
      <c r="BC526" s="72"/>
      <c r="BD526" s="72"/>
      <c r="BE526" s="72"/>
      <c r="BF526" s="72"/>
      <c r="BG526" s="72"/>
      <c r="BH526" s="72"/>
      <c r="BI526" s="72"/>
      <c r="BJ526" s="72"/>
      <c r="BK526" s="72"/>
      <c r="BL526" s="72"/>
      <c r="BM526" s="72"/>
      <c r="BN526" s="72"/>
      <c r="BO526" s="72"/>
      <c r="BP526" s="72"/>
      <c r="BQ526" s="72"/>
      <c r="BR526" s="72"/>
      <c r="BS526" s="72"/>
      <c r="BT526" s="72"/>
      <c r="BU526" s="72"/>
      <c r="BV526" s="72"/>
      <c r="BW526" s="72"/>
      <c r="BX526" s="72"/>
      <c r="BY526" s="72"/>
      <c r="BZ526" s="72"/>
      <c r="CA526" s="72"/>
      <c r="CB526" s="72"/>
      <c r="CC526" s="72"/>
    </row>
    <row r="527" ht="21.0" customHeight="1">
      <c r="A527" s="12"/>
      <c r="B527" s="108"/>
      <c r="C527" s="108"/>
      <c r="D527" s="11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  <c r="AQ527" s="72"/>
      <c r="AR527" s="72"/>
      <c r="AS527" s="72"/>
      <c r="AT527" s="72"/>
      <c r="AU527" s="72"/>
      <c r="AV527" s="72"/>
      <c r="AW527" s="72"/>
      <c r="AX527" s="72"/>
      <c r="AY527" s="72"/>
      <c r="AZ527" s="72"/>
      <c r="BA527" s="72"/>
      <c r="BB527" s="72"/>
      <c r="BC527" s="72"/>
      <c r="BD527" s="72"/>
      <c r="BE527" s="72"/>
      <c r="BF527" s="72"/>
      <c r="BG527" s="72"/>
      <c r="BH527" s="72"/>
      <c r="BI527" s="72"/>
      <c r="BJ527" s="72"/>
      <c r="BK527" s="72"/>
      <c r="BL527" s="72"/>
      <c r="BM527" s="72"/>
      <c r="BN527" s="72"/>
      <c r="BO527" s="72"/>
      <c r="BP527" s="72"/>
      <c r="BQ527" s="72"/>
      <c r="BR527" s="72"/>
      <c r="BS527" s="72"/>
      <c r="BT527" s="72"/>
      <c r="BU527" s="72"/>
      <c r="BV527" s="72"/>
      <c r="BW527" s="72"/>
      <c r="BX527" s="72"/>
      <c r="BY527" s="72"/>
      <c r="BZ527" s="72"/>
      <c r="CA527" s="72"/>
      <c r="CB527" s="72"/>
      <c r="CC527" s="72"/>
    </row>
    <row r="528" ht="21.0" customHeight="1">
      <c r="A528" s="12"/>
      <c r="B528" s="108"/>
      <c r="C528" s="108"/>
      <c r="D528" s="11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  <c r="AQ528" s="72"/>
      <c r="AR528" s="72"/>
      <c r="AS528" s="72"/>
      <c r="AT528" s="72"/>
      <c r="AU528" s="72"/>
      <c r="AV528" s="72"/>
      <c r="AW528" s="72"/>
      <c r="AX528" s="72"/>
      <c r="AY528" s="72"/>
      <c r="AZ528" s="72"/>
      <c r="BA528" s="72"/>
      <c r="BB528" s="72"/>
      <c r="BC528" s="72"/>
      <c r="BD528" s="72"/>
      <c r="BE528" s="72"/>
      <c r="BF528" s="72"/>
      <c r="BG528" s="72"/>
      <c r="BH528" s="72"/>
      <c r="BI528" s="72"/>
      <c r="BJ528" s="72"/>
      <c r="BK528" s="72"/>
      <c r="BL528" s="72"/>
      <c r="BM528" s="72"/>
      <c r="BN528" s="72"/>
      <c r="BO528" s="72"/>
      <c r="BP528" s="72"/>
      <c r="BQ528" s="72"/>
      <c r="BR528" s="72"/>
      <c r="BS528" s="72"/>
      <c r="BT528" s="72"/>
      <c r="BU528" s="72"/>
      <c r="BV528" s="72"/>
      <c r="BW528" s="72"/>
      <c r="BX528" s="72"/>
      <c r="BY528" s="72"/>
      <c r="BZ528" s="72"/>
      <c r="CA528" s="72"/>
      <c r="CB528" s="72"/>
      <c r="CC528" s="72"/>
    </row>
    <row r="529" ht="21.0" customHeight="1">
      <c r="A529" s="12"/>
      <c r="B529" s="108"/>
      <c r="C529" s="108"/>
      <c r="D529" s="11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  <c r="AQ529" s="72"/>
      <c r="AR529" s="72"/>
      <c r="AS529" s="72"/>
      <c r="AT529" s="72"/>
      <c r="AU529" s="72"/>
      <c r="AV529" s="72"/>
      <c r="AW529" s="72"/>
      <c r="AX529" s="72"/>
      <c r="AY529" s="72"/>
      <c r="AZ529" s="72"/>
      <c r="BA529" s="72"/>
      <c r="BB529" s="72"/>
      <c r="BC529" s="72"/>
      <c r="BD529" s="72"/>
      <c r="BE529" s="72"/>
      <c r="BF529" s="72"/>
      <c r="BG529" s="72"/>
      <c r="BH529" s="72"/>
      <c r="BI529" s="72"/>
      <c r="BJ529" s="72"/>
      <c r="BK529" s="72"/>
      <c r="BL529" s="72"/>
      <c r="BM529" s="72"/>
      <c r="BN529" s="72"/>
      <c r="BO529" s="72"/>
      <c r="BP529" s="72"/>
      <c r="BQ529" s="72"/>
      <c r="BR529" s="72"/>
      <c r="BS529" s="72"/>
      <c r="BT529" s="72"/>
      <c r="BU529" s="72"/>
      <c r="BV529" s="72"/>
      <c r="BW529" s="72"/>
      <c r="BX529" s="72"/>
      <c r="BY529" s="72"/>
      <c r="BZ529" s="72"/>
      <c r="CA529" s="72"/>
      <c r="CB529" s="72"/>
      <c r="CC529" s="72"/>
    </row>
    <row r="530" ht="21.0" customHeight="1">
      <c r="A530" s="12"/>
      <c r="B530" s="108"/>
      <c r="C530" s="108"/>
      <c r="D530" s="11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  <c r="AQ530" s="72"/>
      <c r="AR530" s="72"/>
      <c r="AS530" s="72"/>
      <c r="AT530" s="72"/>
      <c r="AU530" s="72"/>
      <c r="AV530" s="72"/>
      <c r="AW530" s="72"/>
      <c r="AX530" s="72"/>
      <c r="AY530" s="72"/>
      <c r="AZ530" s="72"/>
      <c r="BA530" s="72"/>
      <c r="BB530" s="72"/>
      <c r="BC530" s="72"/>
      <c r="BD530" s="72"/>
      <c r="BE530" s="72"/>
      <c r="BF530" s="72"/>
      <c r="BG530" s="72"/>
      <c r="BH530" s="72"/>
      <c r="BI530" s="72"/>
      <c r="BJ530" s="72"/>
      <c r="BK530" s="72"/>
      <c r="BL530" s="72"/>
      <c r="BM530" s="72"/>
      <c r="BN530" s="72"/>
      <c r="BO530" s="72"/>
      <c r="BP530" s="72"/>
      <c r="BQ530" s="72"/>
      <c r="BR530" s="72"/>
      <c r="BS530" s="72"/>
      <c r="BT530" s="72"/>
      <c r="BU530" s="72"/>
      <c r="BV530" s="72"/>
      <c r="BW530" s="72"/>
      <c r="BX530" s="72"/>
      <c r="BY530" s="72"/>
      <c r="BZ530" s="72"/>
      <c r="CA530" s="72"/>
      <c r="CB530" s="72"/>
      <c r="CC530" s="72"/>
    </row>
    <row r="531" ht="21.0" customHeight="1">
      <c r="A531" s="12"/>
      <c r="B531" s="108"/>
      <c r="C531" s="108"/>
      <c r="D531" s="11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  <c r="AQ531" s="72"/>
      <c r="AR531" s="72"/>
      <c r="AS531" s="72"/>
      <c r="AT531" s="72"/>
      <c r="AU531" s="72"/>
      <c r="AV531" s="72"/>
      <c r="AW531" s="72"/>
      <c r="AX531" s="72"/>
      <c r="AY531" s="72"/>
      <c r="AZ531" s="72"/>
      <c r="BA531" s="72"/>
      <c r="BB531" s="72"/>
      <c r="BC531" s="72"/>
      <c r="BD531" s="72"/>
      <c r="BE531" s="72"/>
      <c r="BF531" s="72"/>
      <c r="BG531" s="72"/>
      <c r="BH531" s="72"/>
      <c r="BI531" s="72"/>
      <c r="BJ531" s="72"/>
      <c r="BK531" s="72"/>
      <c r="BL531" s="72"/>
      <c r="BM531" s="72"/>
      <c r="BN531" s="72"/>
      <c r="BO531" s="72"/>
      <c r="BP531" s="72"/>
      <c r="BQ531" s="72"/>
      <c r="BR531" s="72"/>
      <c r="BS531" s="72"/>
      <c r="BT531" s="72"/>
      <c r="BU531" s="72"/>
      <c r="BV531" s="72"/>
      <c r="BW531" s="72"/>
      <c r="BX531" s="72"/>
      <c r="BY531" s="72"/>
      <c r="BZ531" s="72"/>
      <c r="CA531" s="72"/>
      <c r="CB531" s="72"/>
      <c r="CC531" s="72"/>
    </row>
    <row r="532" ht="21.0" customHeight="1">
      <c r="A532" s="12"/>
      <c r="B532" s="108"/>
      <c r="C532" s="108"/>
      <c r="D532" s="11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  <c r="AQ532" s="72"/>
      <c r="AR532" s="72"/>
      <c r="AS532" s="72"/>
      <c r="AT532" s="72"/>
      <c r="AU532" s="72"/>
      <c r="AV532" s="72"/>
      <c r="AW532" s="72"/>
      <c r="AX532" s="72"/>
      <c r="AY532" s="72"/>
      <c r="AZ532" s="72"/>
      <c r="BA532" s="72"/>
      <c r="BB532" s="72"/>
      <c r="BC532" s="72"/>
      <c r="BD532" s="72"/>
      <c r="BE532" s="72"/>
      <c r="BF532" s="72"/>
      <c r="BG532" s="72"/>
      <c r="BH532" s="72"/>
      <c r="BI532" s="72"/>
      <c r="BJ532" s="72"/>
      <c r="BK532" s="72"/>
      <c r="BL532" s="72"/>
      <c r="BM532" s="72"/>
      <c r="BN532" s="72"/>
      <c r="BO532" s="72"/>
      <c r="BP532" s="72"/>
      <c r="BQ532" s="72"/>
      <c r="BR532" s="72"/>
      <c r="BS532" s="72"/>
      <c r="BT532" s="72"/>
      <c r="BU532" s="72"/>
      <c r="BV532" s="72"/>
      <c r="BW532" s="72"/>
      <c r="BX532" s="72"/>
      <c r="BY532" s="72"/>
      <c r="BZ532" s="72"/>
      <c r="CA532" s="72"/>
      <c r="CB532" s="72"/>
      <c r="CC532" s="72"/>
    </row>
    <row r="533" ht="21.0" customHeight="1">
      <c r="A533" s="12"/>
      <c r="B533" s="108"/>
      <c r="C533" s="108"/>
      <c r="D533" s="11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  <c r="AQ533" s="72"/>
      <c r="AR533" s="72"/>
      <c r="AS533" s="72"/>
      <c r="AT533" s="72"/>
      <c r="AU533" s="72"/>
      <c r="AV533" s="72"/>
      <c r="AW533" s="72"/>
      <c r="AX533" s="72"/>
      <c r="AY533" s="72"/>
      <c r="AZ533" s="72"/>
      <c r="BA533" s="72"/>
      <c r="BB533" s="72"/>
      <c r="BC533" s="72"/>
      <c r="BD533" s="72"/>
      <c r="BE533" s="72"/>
      <c r="BF533" s="72"/>
      <c r="BG533" s="72"/>
      <c r="BH533" s="72"/>
      <c r="BI533" s="72"/>
      <c r="BJ533" s="72"/>
      <c r="BK533" s="72"/>
      <c r="BL533" s="72"/>
      <c r="BM533" s="72"/>
      <c r="BN533" s="72"/>
      <c r="BO533" s="72"/>
      <c r="BP533" s="72"/>
      <c r="BQ533" s="72"/>
      <c r="BR533" s="72"/>
      <c r="BS533" s="72"/>
      <c r="BT533" s="72"/>
      <c r="BU533" s="72"/>
      <c r="BV533" s="72"/>
      <c r="BW533" s="72"/>
      <c r="BX533" s="72"/>
      <c r="BY533" s="72"/>
      <c r="BZ533" s="72"/>
      <c r="CA533" s="72"/>
      <c r="CB533" s="72"/>
      <c r="CC533" s="72"/>
    </row>
    <row r="534" ht="21.0" customHeight="1">
      <c r="A534" s="12"/>
      <c r="B534" s="108"/>
      <c r="C534" s="108"/>
      <c r="D534" s="11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  <c r="AQ534" s="72"/>
      <c r="AR534" s="72"/>
      <c r="AS534" s="72"/>
      <c r="AT534" s="72"/>
      <c r="AU534" s="72"/>
      <c r="AV534" s="72"/>
      <c r="AW534" s="72"/>
      <c r="AX534" s="72"/>
      <c r="AY534" s="72"/>
      <c r="AZ534" s="72"/>
      <c r="BA534" s="72"/>
      <c r="BB534" s="72"/>
      <c r="BC534" s="72"/>
      <c r="BD534" s="72"/>
      <c r="BE534" s="72"/>
      <c r="BF534" s="72"/>
      <c r="BG534" s="72"/>
      <c r="BH534" s="72"/>
      <c r="BI534" s="72"/>
      <c r="BJ534" s="72"/>
      <c r="BK534" s="72"/>
      <c r="BL534" s="72"/>
      <c r="BM534" s="72"/>
      <c r="BN534" s="72"/>
      <c r="BO534" s="72"/>
      <c r="BP534" s="72"/>
      <c r="BQ534" s="72"/>
      <c r="BR534" s="72"/>
      <c r="BS534" s="72"/>
      <c r="BT534" s="72"/>
      <c r="BU534" s="72"/>
      <c r="BV534" s="72"/>
      <c r="BW534" s="72"/>
      <c r="BX534" s="72"/>
      <c r="BY534" s="72"/>
      <c r="BZ534" s="72"/>
      <c r="CA534" s="72"/>
      <c r="CB534" s="72"/>
      <c r="CC534" s="72"/>
    </row>
    <row r="535" ht="21.0" customHeight="1">
      <c r="A535" s="12"/>
      <c r="B535" s="118"/>
      <c r="C535" s="118"/>
      <c r="D535" s="11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  <c r="AQ535" s="72"/>
      <c r="AR535" s="72"/>
      <c r="AS535" s="72"/>
      <c r="AT535" s="72"/>
      <c r="AU535" s="72"/>
      <c r="AV535" s="72"/>
      <c r="AW535" s="72"/>
      <c r="AX535" s="72"/>
      <c r="AY535" s="72"/>
      <c r="AZ535" s="72"/>
      <c r="BA535" s="72"/>
      <c r="BB535" s="72"/>
      <c r="BC535" s="72"/>
      <c r="BD535" s="72"/>
      <c r="BE535" s="72"/>
      <c r="BF535" s="72"/>
      <c r="BG535" s="72"/>
      <c r="BH535" s="72"/>
      <c r="BI535" s="72"/>
      <c r="BJ535" s="72"/>
      <c r="BK535" s="72"/>
      <c r="BL535" s="72"/>
      <c r="BM535" s="72"/>
      <c r="BN535" s="72"/>
      <c r="BO535" s="72"/>
      <c r="BP535" s="72"/>
      <c r="BQ535" s="72"/>
      <c r="BR535" s="72"/>
      <c r="BS535" s="72"/>
      <c r="BT535" s="72"/>
      <c r="BU535" s="72"/>
      <c r="BV535" s="72"/>
      <c r="BW535" s="72"/>
      <c r="BX535" s="72"/>
      <c r="BY535" s="72"/>
      <c r="BZ535" s="72"/>
      <c r="CA535" s="72"/>
      <c r="CB535" s="72"/>
      <c r="CC535" s="72"/>
    </row>
    <row r="536" ht="21.0" customHeight="1">
      <c r="A536" s="12"/>
      <c r="B536" s="107"/>
      <c r="C536" s="107"/>
      <c r="D536" s="11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  <c r="AQ536" s="72"/>
      <c r="AR536" s="72"/>
      <c r="AS536" s="72"/>
      <c r="AT536" s="72"/>
      <c r="AU536" s="72"/>
      <c r="AV536" s="72"/>
      <c r="AW536" s="72"/>
      <c r="AX536" s="72"/>
      <c r="AY536" s="72"/>
      <c r="AZ536" s="72"/>
      <c r="BA536" s="72"/>
      <c r="BB536" s="72"/>
      <c r="BC536" s="72"/>
      <c r="BD536" s="72"/>
      <c r="BE536" s="72"/>
      <c r="BF536" s="72"/>
      <c r="BG536" s="72"/>
      <c r="BH536" s="72"/>
      <c r="BI536" s="72"/>
      <c r="BJ536" s="72"/>
      <c r="BK536" s="72"/>
      <c r="BL536" s="72"/>
      <c r="BM536" s="72"/>
      <c r="BN536" s="72"/>
      <c r="BO536" s="72"/>
      <c r="BP536" s="72"/>
      <c r="BQ536" s="72"/>
      <c r="BR536" s="72"/>
      <c r="BS536" s="72"/>
      <c r="BT536" s="72"/>
      <c r="BU536" s="72"/>
      <c r="BV536" s="72"/>
      <c r="BW536" s="72"/>
      <c r="BX536" s="72"/>
      <c r="BY536" s="72"/>
      <c r="BZ536" s="72"/>
      <c r="CA536" s="72"/>
      <c r="CB536" s="72"/>
      <c r="CC536" s="72"/>
    </row>
    <row r="537" ht="21.0" customHeight="1">
      <c r="A537" s="12"/>
      <c r="B537" s="108"/>
      <c r="C537" s="108"/>
      <c r="D537" s="11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  <c r="AQ537" s="72"/>
      <c r="AR537" s="72"/>
      <c r="AS537" s="72"/>
      <c r="AT537" s="72"/>
      <c r="AU537" s="72"/>
      <c r="AV537" s="72"/>
      <c r="AW537" s="72"/>
      <c r="AX537" s="72"/>
      <c r="AY537" s="72"/>
      <c r="AZ537" s="72"/>
      <c r="BA537" s="72"/>
      <c r="BB537" s="72"/>
      <c r="BC537" s="72"/>
      <c r="BD537" s="72"/>
      <c r="BE537" s="72"/>
      <c r="BF537" s="72"/>
      <c r="BG537" s="72"/>
      <c r="BH537" s="72"/>
      <c r="BI537" s="72"/>
      <c r="BJ537" s="72"/>
      <c r="BK537" s="72"/>
      <c r="BL537" s="72"/>
      <c r="BM537" s="72"/>
      <c r="BN537" s="72"/>
      <c r="BO537" s="72"/>
      <c r="BP537" s="72"/>
      <c r="BQ537" s="72"/>
      <c r="BR537" s="72"/>
      <c r="BS537" s="72"/>
      <c r="BT537" s="72"/>
      <c r="BU537" s="72"/>
      <c r="BV537" s="72"/>
      <c r="BW537" s="72"/>
      <c r="BX537" s="72"/>
      <c r="BY537" s="72"/>
      <c r="BZ537" s="72"/>
      <c r="CA537" s="72"/>
      <c r="CB537" s="72"/>
      <c r="CC537" s="72"/>
    </row>
    <row r="538" ht="21.0" customHeight="1">
      <c r="A538" s="12"/>
      <c r="B538" s="108"/>
      <c r="C538" s="108"/>
      <c r="D538" s="11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  <c r="AQ538" s="72"/>
      <c r="AR538" s="72"/>
      <c r="AS538" s="72"/>
      <c r="AT538" s="72"/>
      <c r="AU538" s="72"/>
      <c r="AV538" s="72"/>
      <c r="AW538" s="72"/>
      <c r="AX538" s="72"/>
      <c r="AY538" s="72"/>
      <c r="AZ538" s="72"/>
      <c r="BA538" s="72"/>
      <c r="BB538" s="72"/>
      <c r="BC538" s="72"/>
      <c r="BD538" s="72"/>
      <c r="BE538" s="72"/>
      <c r="BF538" s="72"/>
      <c r="BG538" s="72"/>
      <c r="BH538" s="72"/>
      <c r="BI538" s="72"/>
      <c r="BJ538" s="72"/>
      <c r="BK538" s="72"/>
      <c r="BL538" s="72"/>
      <c r="BM538" s="72"/>
      <c r="BN538" s="72"/>
      <c r="BO538" s="72"/>
      <c r="BP538" s="72"/>
      <c r="BQ538" s="72"/>
      <c r="BR538" s="72"/>
      <c r="BS538" s="72"/>
      <c r="BT538" s="72"/>
      <c r="BU538" s="72"/>
      <c r="BV538" s="72"/>
      <c r="BW538" s="72"/>
      <c r="BX538" s="72"/>
      <c r="BY538" s="72"/>
      <c r="BZ538" s="72"/>
      <c r="CA538" s="72"/>
      <c r="CB538" s="72"/>
      <c r="CC538" s="72"/>
    </row>
    <row r="539" ht="21.0" customHeight="1">
      <c r="A539" s="12"/>
      <c r="B539" s="108"/>
      <c r="C539" s="108"/>
      <c r="D539" s="11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72"/>
      <c r="BJ539" s="72"/>
      <c r="BK539" s="72"/>
      <c r="BL539" s="72"/>
      <c r="BM539" s="72"/>
      <c r="BN539" s="72"/>
      <c r="BO539" s="72"/>
      <c r="BP539" s="72"/>
      <c r="BQ539" s="72"/>
      <c r="BR539" s="72"/>
      <c r="BS539" s="72"/>
      <c r="BT539" s="72"/>
      <c r="BU539" s="72"/>
      <c r="BV539" s="72"/>
      <c r="BW539" s="72"/>
      <c r="BX539" s="72"/>
      <c r="BY539" s="72"/>
      <c r="BZ539" s="72"/>
      <c r="CA539" s="72"/>
      <c r="CB539" s="72"/>
      <c r="CC539" s="72"/>
    </row>
    <row r="540" ht="21.0" customHeight="1">
      <c r="A540" s="12"/>
      <c r="B540" s="108"/>
      <c r="C540" s="108"/>
      <c r="D540" s="11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72"/>
      <c r="BJ540" s="72"/>
      <c r="BK540" s="72"/>
      <c r="BL540" s="72"/>
      <c r="BM540" s="72"/>
      <c r="BN540" s="72"/>
      <c r="BO540" s="72"/>
      <c r="BP540" s="72"/>
      <c r="BQ540" s="72"/>
      <c r="BR540" s="72"/>
      <c r="BS540" s="72"/>
      <c r="BT540" s="72"/>
      <c r="BU540" s="72"/>
      <c r="BV540" s="72"/>
      <c r="BW540" s="72"/>
      <c r="BX540" s="72"/>
      <c r="BY540" s="72"/>
      <c r="BZ540" s="72"/>
      <c r="CA540" s="72"/>
      <c r="CB540" s="72"/>
      <c r="CC540" s="72"/>
    </row>
    <row r="541" ht="21.0" customHeight="1">
      <c r="A541" s="12"/>
      <c r="B541" s="107"/>
      <c r="C541" s="107"/>
      <c r="D541" s="11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  <c r="AQ541" s="72"/>
      <c r="AR541" s="72"/>
      <c r="AS541" s="72"/>
      <c r="AT541" s="72"/>
      <c r="AU541" s="72"/>
      <c r="AV541" s="72"/>
      <c r="AW541" s="72"/>
      <c r="AX541" s="72"/>
      <c r="AY541" s="72"/>
      <c r="AZ541" s="72"/>
      <c r="BA541" s="72"/>
      <c r="BB541" s="72"/>
      <c r="BC541" s="72"/>
      <c r="BD541" s="72"/>
      <c r="BE541" s="72"/>
      <c r="BF541" s="72"/>
      <c r="BG541" s="72"/>
      <c r="BH541" s="72"/>
      <c r="BI541" s="72"/>
      <c r="BJ541" s="72"/>
      <c r="BK541" s="72"/>
      <c r="BL541" s="72"/>
      <c r="BM541" s="72"/>
      <c r="BN541" s="72"/>
      <c r="BO541" s="72"/>
      <c r="BP541" s="72"/>
      <c r="BQ541" s="72"/>
      <c r="BR541" s="72"/>
      <c r="BS541" s="72"/>
      <c r="BT541" s="72"/>
      <c r="BU541" s="72"/>
      <c r="BV541" s="72"/>
      <c r="BW541" s="72"/>
      <c r="BX541" s="72"/>
      <c r="BY541" s="72"/>
      <c r="BZ541" s="72"/>
      <c r="CA541" s="72"/>
      <c r="CB541" s="72"/>
      <c r="CC541" s="72"/>
    </row>
    <row r="542" ht="21.0" customHeight="1">
      <c r="A542" s="12"/>
      <c r="B542" s="108"/>
      <c r="C542" s="108"/>
      <c r="D542" s="11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  <c r="AQ542" s="72"/>
      <c r="AR542" s="72"/>
      <c r="AS542" s="72"/>
      <c r="AT542" s="72"/>
      <c r="AU542" s="72"/>
      <c r="AV542" s="72"/>
      <c r="AW542" s="72"/>
      <c r="AX542" s="72"/>
      <c r="AY542" s="72"/>
      <c r="AZ542" s="72"/>
      <c r="BA542" s="72"/>
      <c r="BB542" s="72"/>
      <c r="BC542" s="72"/>
      <c r="BD542" s="72"/>
      <c r="BE542" s="72"/>
      <c r="BF542" s="72"/>
      <c r="BG542" s="72"/>
      <c r="BH542" s="72"/>
      <c r="BI542" s="72"/>
      <c r="BJ542" s="72"/>
      <c r="BK542" s="72"/>
      <c r="BL542" s="72"/>
      <c r="BM542" s="72"/>
      <c r="BN542" s="72"/>
      <c r="BO542" s="72"/>
      <c r="BP542" s="72"/>
      <c r="BQ542" s="72"/>
      <c r="BR542" s="72"/>
      <c r="BS542" s="72"/>
      <c r="BT542" s="72"/>
      <c r="BU542" s="72"/>
      <c r="BV542" s="72"/>
      <c r="BW542" s="72"/>
      <c r="BX542" s="72"/>
      <c r="BY542" s="72"/>
      <c r="BZ542" s="72"/>
      <c r="CA542" s="72"/>
      <c r="CB542" s="72"/>
      <c r="CC542" s="72"/>
    </row>
    <row r="543" ht="21.0" customHeight="1">
      <c r="A543" s="12"/>
      <c r="B543" s="108"/>
      <c r="C543" s="108"/>
      <c r="D543" s="11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  <c r="AQ543" s="72"/>
      <c r="AR543" s="72"/>
      <c r="AS543" s="72"/>
      <c r="AT543" s="72"/>
      <c r="AU543" s="72"/>
      <c r="AV543" s="72"/>
      <c r="AW543" s="72"/>
      <c r="AX543" s="72"/>
      <c r="AY543" s="72"/>
      <c r="AZ543" s="72"/>
      <c r="BA543" s="72"/>
      <c r="BB543" s="72"/>
      <c r="BC543" s="72"/>
      <c r="BD543" s="72"/>
      <c r="BE543" s="72"/>
      <c r="BF543" s="72"/>
      <c r="BG543" s="72"/>
      <c r="BH543" s="72"/>
      <c r="BI543" s="72"/>
      <c r="BJ543" s="72"/>
      <c r="BK543" s="72"/>
      <c r="BL543" s="72"/>
      <c r="BM543" s="72"/>
      <c r="BN543" s="72"/>
      <c r="BO543" s="72"/>
      <c r="BP543" s="72"/>
      <c r="BQ543" s="72"/>
      <c r="BR543" s="72"/>
      <c r="BS543" s="72"/>
      <c r="BT543" s="72"/>
      <c r="BU543" s="72"/>
      <c r="BV543" s="72"/>
      <c r="BW543" s="72"/>
      <c r="BX543" s="72"/>
      <c r="BY543" s="72"/>
      <c r="BZ543" s="72"/>
      <c r="CA543" s="72"/>
      <c r="CB543" s="72"/>
      <c r="CC543" s="72"/>
    </row>
    <row r="544" ht="21.0" customHeight="1">
      <c r="A544" s="12"/>
      <c r="B544" s="108"/>
      <c r="C544" s="108"/>
      <c r="D544" s="11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  <c r="AQ544" s="72"/>
      <c r="AR544" s="72"/>
      <c r="AS544" s="72"/>
      <c r="AT544" s="72"/>
      <c r="AU544" s="72"/>
      <c r="AV544" s="72"/>
      <c r="AW544" s="72"/>
      <c r="AX544" s="72"/>
      <c r="AY544" s="72"/>
      <c r="AZ544" s="72"/>
      <c r="BA544" s="72"/>
      <c r="BB544" s="72"/>
      <c r="BC544" s="72"/>
      <c r="BD544" s="72"/>
      <c r="BE544" s="72"/>
      <c r="BF544" s="72"/>
      <c r="BG544" s="72"/>
      <c r="BH544" s="72"/>
      <c r="BI544" s="72"/>
      <c r="BJ544" s="72"/>
      <c r="BK544" s="72"/>
      <c r="BL544" s="72"/>
      <c r="BM544" s="72"/>
      <c r="BN544" s="72"/>
      <c r="BO544" s="72"/>
      <c r="BP544" s="72"/>
      <c r="BQ544" s="72"/>
      <c r="BR544" s="72"/>
      <c r="BS544" s="72"/>
      <c r="BT544" s="72"/>
      <c r="BU544" s="72"/>
      <c r="BV544" s="72"/>
      <c r="BW544" s="72"/>
      <c r="BX544" s="72"/>
      <c r="BY544" s="72"/>
      <c r="BZ544" s="72"/>
      <c r="CA544" s="72"/>
      <c r="CB544" s="72"/>
      <c r="CC544" s="72"/>
    </row>
    <row r="545" ht="21.0" customHeight="1">
      <c r="A545" s="12"/>
      <c r="B545" s="108"/>
      <c r="C545" s="108"/>
      <c r="D545" s="11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  <c r="AQ545" s="72"/>
      <c r="AR545" s="72"/>
      <c r="AS545" s="72"/>
      <c r="AT545" s="72"/>
      <c r="AU545" s="72"/>
      <c r="AV545" s="72"/>
      <c r="AW545" s="72"/>
      <c r="AX545" s="72"/>
      <c r="AY545" s="72"/>
      <c r="AZ545" s="72"/>
      <c r="BA545" s="72"/>
      <c r="BB545" s="72"/>
      <c r="BC545" s="72"/>
      <c r="BD545" s="72"/>
      <c r="BE545" s="72"/>
      <c r="BF545" s="72"/>
      <c r="BG545" s="72"/>
      <c r="BH545" s="72"/>
      <c r="BI545" s="72"/>
      <c r="BJ545" s="72"/>
      <c r="BK545" s="72"/>
      <c r="BL545" s="72"/>
      <c r="BM545" s="72"/>
      <c r="BN545" s="72"/>
      <c r="BO545" s="72"/>
      <c r="BP545" s="72"/>
      <c r="BQ545" s="72"/>
      <c r="BR545" s="72"/>
      <c r="BS545" s="72"/>
      <c r="BT545" s="72"/>
      <c r="BU545" s="72"/>
      <c r="BV545" s="72"/>
      <c r="BW545" s="72"/>
      <c r="BX545" s="72"/>
      <c r="BY545" s="72"/>
      <c r="BZ545" s="72"/>
      <c r="CA545" s="72"/>
      <c r="CB545" s="72"/>
      <c r="CC545" s="72"/>
    </row>
    <row r="546" ht="21.0" customHeight="1">
      <c r="A546" s="12"/>
      <c r="B546" s="108"/>
      <c r="C546" s="108"/>
      <c r="D546" s="11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72"/>
      <c r="BJ546" s="72"/>
      <c r="BK546" s="72"/>
      <c r="BL546" s="72"/>
      <c r="BM546" s="72"/>
      <c r="BN546" s="72"/>
      <c r="BO546" s="72"/>
      <c r="BP546" s="72"/>
      <c r="BQ546" s="72"/>
      <c r="BR546" s="72"/>
      <c r="BS546" s="72"/>
      <c r="BT546" s="72"/>
      <c r="BU546" s="72"/>
      <c r="BV546" s="72"/>
      <c r="BW546" s="72"/>
      <c r="BX546" s="72"/>
      <c r="BY546" s="72"/>
      <c r="BZ546" s="72"/>
      <c r="CA546" s="72"/>
      <c r="CB546" s="72"/>
      <c r="CC546" s="72"/>
    </row>
    <row r="547" ht="21.0" customHeight="1">
      <c r="A547" s="12"/>
      <c r="B547" s="118"/>
      <c r="C547" s="118"/>
      <c r="D547" s="11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  <c r="AQ547" s="72"/>
      <c r="AR547" s="72"/>
      <c r="AS547" s="72"/>
      <c r="AT547" s="72"/>
      <c r="AU547" s="72"/>
      <c r="AV547" s="72"/>
      <c r="AW547" s="72"/>
      <c r="AX547" s="72"/>
      <c r="AY547" s="72"/>
      <c r="AZ547" s="72"/>
      <c r="BA547" s="72"/>
      <c r="BB547" s="72"/>
      <c r="BC547" s="72"/>
      <c r="BD547" s="72"/>
      <c r="BE547" s="72"/>
      <c r="BF547" s="72"/>
      <c r="BG547" s="72"/>
      <c r="BH547" s="72"/>
      <c r="BI547" s="72"/>
      <c r="BJ547" s="72"/>
      <c r="BK547" s="72"/>
      <c r="BL547" s="72"/>
      <c r="BM547" s="72"/>
      <c r="BN547" s="72"/>
      <c r="BO547" s="72"/>
      <c r="BP547" s="72"/>
      <c r="BQ547" s="72"/>
      <c r="BR547" s="72"/>
      <c r="BS547" s="72"/>
      <c r="BT547" s="72"/>
      <c r="BU547" s="72"/>
      <c r="BV547" s="72"/>
      <c r="BW547" s="72"/>
      <c r="BX547" s="72"/>
      <c r="BY547" s="72"/>
      <c r="BZ547" s="72"/>
      <c r="CA547" s="72"/>
      <c r="CB547" s="72"/>
      <c r="CC547" s="72"/>
    </row>
    <row r="548" ht="21.0" customHeight="1">
      <c r="A548" s="12"/>
      <c r="B548" s="118"/>
      <c r="C548" s="118"/>
      <c r="D548" s="11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  <c r="AQ548" s="72"/>
      <c r="AR548" s="72"/>
      <c r="AS548" s="72"/>
      <c r="AT548" s="72"/>
      <c r="AU548" s="72"/>
      <c r="AV548" s="72"/>
      <c r="AW548" s="72"/>
      <c r="AX548" s="72"/>
      <c r="AY548" s="72"/>
      <c r="AZ548" s="72"/>
      <c r="BA548" s="72"/>
      <c r="BB548" s="72"/>
      <c r="BC548" s="72"/>
      <c r="BD548" s="72"/>
      <c r="BE548" s="72"/>
      <c r="BF548" s="72"/>
      <c r="BG548" s="72"/>
      <c r="BH548" s="72"/>
      <c r="BI548" s="72"/>
      <c r="BJ548" s="72"/>
      <c r="BK548" s="72"/>
      <c r="BL548" s="72"/>
      <c r="BM548" s="72"/>
      <c r="BN548" s="72"/>
      <c r="BO548" s="72"/>
      <c r="BP548" s="72"/>
      <c r="BQ548" s="72"/>
      <c r="BR548" s="72"/>
      <c r="BS548" s="72"/>
      <c r="BT548" s="72"/>
      <c r="BU548" s="72"/>
      <c r="BV548" s="72"/>
      <c r="BW548" s="72"/>
      <c r="BX548" s="72"/>
      <c r="BY548" s="72"/>
      <c r="BZ548" s="72"/>
      <c r="CA548" s="72"/>
      <c r="CB548" s="72"/>
      <c r="CC548" s="72"/>
    </row>
    <row r="549" ht="21.0" customHeight="1">
      <c r="A549" s="12"/>
      <c r="B549" s="118"/>
      <c r="C549" s="118"/>
      <c r="D549" s="11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  <c r="AQ549" s="72"/>
      <c r="AR549" s="72"/>
      <c r="AS549" s="72"/>
      <c r="AT549" s="72"/>
      <c r="AU549" s="72"/>
      <c r="AV549" s="72"/>
      <c r="AW549" s="72"/>
      <c r="AX549" s="72"/>
      <c r="AY549" s="72"/>
      <c r="AZ549" s="72"/>
      <c r="BA549" s="72"/>
      <c r="BB549" s="72"/>
      <c r="BC549" s="72"/>
      <c r="BD549" s="72"/>
      <c r="BE549" s="72"/>
      <c r="BF549" s="72"/>
      <c r="BG549" s="72"/>
      <c r="BH549" s="72"/>
      <c r="BI549" s="72"/>
      <c r="BJ549" s="72"/>
      <c r="BK549" s="72"/>
      <c r="BL549" s="72"/>
      <c r="BM549" s="72"/>
      <c r="BN549" s="72"/>
      <c r="BO549" s="72"/>
      <c r="BP549" s="72"/>
      <c r="BQ549" s="72"/>
      <c r="BR549" s="72"/>
      <c r="BS549" s="72"/>
      <c r="BT549" s="72"/>
      <c r="BU549" s="72"/>
      <c r="BV549" s="72"/>
      <c r="BW549" s="72"/>
      <c r="BX549" s="72"/>
      <c r="BY549" s="72"/>
      <c r="BZ549" s="72"/>
      <c r="CA549" s="72"/>
      <c r="CB549" s="72"/>
      <c r="CC549" s="72"/>
    </row>
    <row r="550" ht="21.0" customHeight="1">
      <c r="A550" s="12"/>
      <c r="B550" s="118"/>
      <c r="C550" s="118"/>
      <c r="D550" s="11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  <c r="AQ550" s="72"/>
      <c r="AR550" s="72"/>
      <c r="AS550" s="72"/>
      <c r="AT550" s="72"/>
      <c r="AU550" s="72"/>
      <c r="AV550" s="72"/>
      <c r="AW550" s="72"/>
      <c r="AX550" s="72"/>
      <c r="AY550" s="72"/>
      <c r="AZ550" s="72"/>
      <c r="BA550" s="72"/>
      <c r="BB550" s="72"/>
      <c r="BC550" s="72"/>
      <c r="BD550" s="72"/>
      <c r="BE550" s="72"/>
      <c r="BF550" s="72"/>
      <c r="BG550" s="72"/>
      <c r="BH550" s="72"/>
      <c r="BI550" s="72"/>
      <c r="BJ550" s="72"/>
      <c r="BK550" s="72"/>
      <c r="BL550" s="72"/>
      <c r="BM550" s="72"/>
      <c r="BN550" s="72"/>
      <c r="BO550" s="72"/>
      <c r="BP550" s="72"/>
      <c r="BQ550" s="72"/>
      <c r="BR550" s="72"/>
      <c r="BS550" s="72"/>
      <c r="BT550" s="72"/>
      <c r="BU550" s="72"/>
      <c r="BV550" s="72"/>
      <c r="BW550" s="72"/>
      <c r="BX550" s="72"/>
      <c r="BY550" s="72"/>
      <c r="BZ550" s="72"/>
      <c r="CA550" s="72"/>
      <c r="CB550" s="72"/>
      <c r="CC550" s="72"/>
    </row>
    <row r="551" ht="21.0" customHeight="1">
      <c r="A551" s="12"/>
      <c r="B551" s="118"/>
      <c r="C551" s="118"/>
      <c r="D551" s="11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  <c r="AQ551" s="72"/>
      <c r="AR551" s="72"/>
      <c r="AS551" s="72"/>
      <c r="AT551" s="72"/>
      <c r="AU551" s="72"/>
      <c r="AV551" s="72"/>
      <c r="AW551" s="72"/>
      <c r="AX551" s="72"/>
      <c r="AY551" s="72"/>
      <c r="AZ551" s="72"/>
      <c r="BA551" s="72"/>
      <c r="BB551" s="72"/>
      <c r="BC551" s="72"/>
      <c r="BD551" s="72"/>
      <c r="BE551" s="72"/>
      <c r="BF551" s="72"/>
      <c r="BG551" s="72"/>
      <c r="BH551" s="72"/>
      <c r="BI551" s="72"/>
      <c r="BJ551" s="72"/>
      <c r="BK551" s="72"/>
      <c r="BL551" s="72"/>
      <c r="BM551" s="72"/>
      <c r="BN551" s="72"/>
      <c r="BO551" s="72"/>
      <c r="BP551" s="72"/>
      <c r="BQ551" s="72"/>
      <c r="BR551" s="72"/>
      <c r="BS551" s="72"/>
      <c r="BT551" s="72"/>
      <c r="BU551" s="72"/>
      <c r="BV551" s="72"/>
      <c r="BW551" s="72"/>
      <c r="BX551" s="72"/>
      <c r="BY551" s="72"/>
      <c r="BZ551" s="72"/>
      <c r="CA551" s="72"/>
      <c r="CB551" s="72"/>
      <c r="CC551" s="72"/>
    </row>
    <row r="552" ht="21.0" customHeight="1">
      <c r="A552" s="12"/>
      <c r="B552" s="118"/>
      <c r="C552" s="118"/>
      <c r="D552" s="11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  <c r="AQ552" s="72"/>
      <c r="AR552" s="72"/>
      <c r="AS552" s="72"/>
      <c r="AT552" s="72"/>
      <c r="AU552" s="72"/>
      <c r="AV552" s="72"/>
      <c r="AW552" s="72"/>
      <c r="AX552" s="72"/>
      <c r="AY552" s="72"/>
      <c r="AZ552" s="72"/>
      <c r="BA552" s="72"/>
      <c r="BB552" s="72"/>
      <c r="BC552" s="72"/>
      <c r="BD552" s="72"/>
      <c r="BE552" s="72"/>
      <c r="BF552" s="72"/>
      <c r="BG552" s="72"/>
      <c r="BH552" s="72"/>
      <c r="BI552" s="72"/>
      <c r="BJ552" s="72"/>
      <c r="BK552" s="72"/>
      <c r="BL552" s="72"/>
      <c r="BM552" s="72"/>
      <c r="BN552" s="72"/>
      <c r="BO552" s="72"/>
      <c r="BP552" s="72"/>
      <c r="BQ552" s="72"/>
      <c r="BR552" s="72"/>
      <c r="BS552" s="72"/>
      <c r="BT552" s="72"/>
      <c r="BU552" s="72"/>
      <c r="BV552" s="72"/>
      <c r="BW552" s="72"/>
      <c r="BX552" s="72"/>
      <c r="BY552" s="72"/>
      <c r="BZ552" s="72"/>
      <c r="CA552" s="72"/>
      <c r="CB552" s="72"/>
      <c r="CC552" s="72"/>
    </row>
    <row r="553" ht="21.0" customHeight="1">
      <c r="A553" s="12"/>
      <c r="B553" s="118"/>
      <c r="C553" s="118"/>
      <c r="D553" s="11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  <c r="AQ553" s="72"/>
      <c r="AR553" s="72"/>
      <c r="AS553" s="72"/>
      <c r="AT553" s="72"/>
      <c r="AU553" s="72"/>
      <c r="AV553" s="72"/>
      <c r="AW553" s="72"/>
      <c r="AX553" s="72"/>
      <c r="AY553" s="72"/>
      <c r="AZ553" s="72"/>
      <c r="BA553" s="72"/>
      <c r="BB553" s="72"/>
      <c r="BC553" s="72"/>
      <c r="BD553" s="72"/>
      <c r="BE553" s="72"/>
      <c r="BF553" s="72"/>
      <c r="BG553" s="72"/>
      <c r="BH553" s="72"/>
      <c r="BI553" s="72"/>
      <c r="BJ553" s="72"/>
      <c r="BK553" s="72"/>
      <c r="BL553" s="72"/>
      <c r="BM553" s="72"/>
      <c r="BN553" s="72"/>
      <c r="BO553" s="72"/>
      <c r="BP553" s="72"/>
      <c r="BQ553" s="72"/>
      <c r="BR553" s="72"/>
      <c r="BS553" s="72"/>
      <c r="BT553" s="72"/>
      <c r="BU553" s="72"/>
      <c r="BV553" s="72"/>
      <c r="BW553" s="72"/>
      <c r="BX553" s="72"/>
      <c r="BY553" s="72"/>
      <c r="BZ553" s="72"/>
      <c r="CA553" s="72"/>
      <c r="CB553" s="72"/>
      <c r="CC553" s="72"/>
    </row>
    <row r="554" ht="21.0" customHeight="1">
      <c r="A554" s="12"/>
      <c r="B554" s="118"/>
      <c r="C554" s="118"/>
      <c r="D554" s="11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  <c r="AQ554" s="72"/>
      <c r="AR554" s="72"/>
      <c r="AS554" s="72"/>
      <c r="AT554" s="72"/>
      <c r="AU554" s="72"/>
      <c r="AV554" s="72"/>
      <c r="AW554" s="72"/>
      <c r="AX554" s="72"/>
      <c r="AY554" s="72"/>
      <c r="AZ554" s="72"/>
      <c r="BA554" s="72"/>
      <c r="BB554" s="72"/>
      <c r="BC554" s="72"/>
      <c r="BD554" s="72"/>
      <c r="BE554" s="72"/>
      <c r="BF554" s="72"/>
      <c r="BG554" s="72"/>
      <c r="BH554" s="72"/>
      <c r="BI554" s="72"/>
      <c r="BJ554" s="72"/>
      <c r="BK554" s="72"/>
      <c r="BL554" s="72"/>
      <c r="BM554" s="72"/>
      <c r="BN554" s="72"/>
      <c r="BO554" s="72"/>
      <c r="BP554" s="72"/>
      <c r="BQ554" s="72"/>
      <c r="BR554" s="72"/>
      <c r="BS554" s="72"/>
      <c r="BT554" s="72"/>
      <c r="BU554" s="72"/>
      <c r="BV554" s="72"/>
      <c r="BW554" s="72"/>
      <c r="BX554" s="72"/>
      <c r="BY554" s="72"/>
      <c r="BZ554" s="72"/>
      <c r="CA554" s="72"/>
      <c r="CB554" s="72"/>
      <c r="CC554" s="72"/>
    </row>
    <row r="555" ht="21.0" customHeight="1">
      <c r="A555" s="12"/>
      <c r="B555" s="118"/>
      <c r="C555" s="118"/>
      <c r="D555" s="11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  <c r="AQ555" s="72"/>
      <c r="AR555" s="72"/>
      <c r="AS555" s="72"/>
      <c r="AT555" s="72"/>
      <c r="AU555" s="72"/>
      <c r="AV555" s="72"/>
      <c r="AW555" s="72"/>
      <c r="AX555" s="72"/>
      <c r="AY555" s="72"/>
      <c r="AZ555" s="72"/>
      <c r="BA555" s="72"/>
      <c r="BB555" s="72"/>
      <c r="BC555" s="72"/>
      <c r="BD555" s="72"/>
      <c r="BE555" s="72"/>
      <c r="BF555" s="72"/>
      <c r="BG555" s="72"/>
      <c r="BH555" s="72"/>
      <c r="BI555" s="72"/>
      <c r="BJ555" s="72"/>
      <c r="BK555" s="72"/>
      <c r="BL555" s="72"/>
      <c r="BM555" s="72"/>
      <c r="BN555" s="72"/>
      <c r="BO555" s="72"/>
      <c r="BP555" s="72"/>
      <c r="BQ555" s="72"/>
      <c r="BR555" s="72"/>
      <c r="BS555" s="72"/>
      <c r="BT555" s="72"/>
      <c r="BU555" s="72"/>
      <c r="BV555" s="72"/>
      <c r="BW555" s="72"/>
      <c r="BX555" s="72"/>
      <c r="BY555" s="72"/>
      <c r="BZ555" s="72"/>
      <c r="CA555" s="72"/>
      <c r="CB555" s="72"/>
      <c r="CC555" s="72"/>
    </row>
    <row r="556" ht="21.0" customHeight="1">
      <c r="A556" s="12"/>
      <c r="B556" s="118"/>
      <c r="C556" s="118"/>
      <c r="D556" s="11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  <c r="AQ556" s="72"/>
      <c r="AR556" s="72"/>
      <c r="AS556" s="72"/>
      <c r="AT556" s="72"/>
      <c r="AU556" s="72"/>
      <c r="AV556" s="72"/>
      <c r="AW556" s="72"/>
      <c r="AX556" s="72"/>
      <c r="AY556" s="72"/>
      <c r="AZ556" s="72"/>
      <c r="BA556" s="72"/>
      <c r="BB556" s="72"/>
      <c r="BC556" s="72"/>
      <c r="BD556" s="72"/>
      <c r="BE556" s="72"/>
      <c r="BF556" s="72"/>
      <c r="BG556" s="72"/>
      <c r="BH556" s="72"/>
      <c r="BI556" s="72"/>
      <c r="BJ556" s="72"/>
      <c r="BK556" s="72"/>
      <c r="BL556" s="72"/>
      <c r="BM556" s="72"/>
      <c r="BN556" s="72"/>
      <c r="BO556" s="72"/>
      <c r="BP556" s="72"/>
      <c r="BQ556" s="72"/>
      <c r="BR556" s="72"/>
      <c r="BS556" s="72"/>
      <c r="BT556" s="72"/>
      <c r="BU556" s="72"/>
      <c r="BV556" s="72"/>
      <c r="BW556" s="72"/>
      <c r="BX556" s="72"/>
      <c r="BY556" s="72"/>
      <c r="BZ556" s="72"/>
      <c r="CA556" s="72"/>
      <c r="CB556" s="72"/>
      <c r="CC556" s="72"/>
    </row>
    <row r="557" ht="21.0" customHeight="1">
      <c r="A557" s="12"/>
      <c r="B557" s="118"/>
      <c r="C557" s="118"/>
      <c r="D557" s="11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  <c r="AQ557" s="72"/>
      <c r="AR557" s="72"/>
      <c r="AS557" s="72"/>
      <c r="AT557" s="72"/>
      <c r="AU557" s="72"/>
      <c r="AV557" s="72"/>
      <c r="AW557" s="72"/>
      <c r="AX557" s="72"/>
      <c r="AY557" s="72"/>
      <c r="AZ557" s="72"/>
      <c r="BA557" s="72"/>
      <c r="BB557" s="72"/>
      <c r="BC557" s="72"/>
      <c r="BD557" s="72"/>
      <c r="BE557" s="72"/>
      <c r="BF557" s="72"/>
      <c r="BG557" s="72"/>
      <c r="BH557" s="72"/>
      <c r="BI557" s="72"/>
      <c r="BJ557" s="72"/>
      <c r="BK557" s="72"/>
      <c r="BL557" s="72"/>
      <c r="BM557" s="72"/>
      <c r="BN557" s="72"/>
      <c r="BO557" s="72"/>
      <c r="BP557" s="72"/>
      <c r="BQ557" s="72"/>
      <c r="BR557" s="72"/>
      <c r="BS557" s="72"/>
      <c r="BT557" s="72"/>
      <c r="BU557" s="72"/>
      <c r="BV557" s="72"/>
      <c r="BW557" s="72"/>
      <c r="BX557" s="72"/>
      <c r="BY557" s="72"/>
      <c r="BZ557" s="72"/>
      <c r="CA557" s="72"/>
      <c r="CB557" s="72"/>
      <c r="CC557" s="72"/>
    </row>
    <row r="558" ht="21.0" customHeight="1">
      <c r="A558" s="12"/>
      <c r="B558" s="118"/>
      <c r="C558" s="118"/>
      <c r="D558" s="11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  <c r="AQ558" s="72"/>
      <c r="AR558" s="72"/>
      <c r="AS558" s="72"/>
      <c r="AT558" s="72"/>
      <c r="AU558" s="72"/>
      <c r="AV558" s="72"/>
      <c r="AW558" s="72"/>
      <c r="AX558" s="72"/>
      <c r="AY558" s="72"/>
      <c r="AZ558" s="72"/>
      <c r="BA558" s="72"/>
      <c r="BB558" s="72"/>
      <c r="BC558" s="72"/>
      <c r="BD558" s="72"/>
      <c r="BE558" s="72"/>
      <c r="BF558" s="72"/>
      <c r="BG558" s="72"/>
      <c r="BH558" s="72"/>
      <c r="BI558" s="72"/>
      <c r="BJ558" s="72"/>
      <c r="BK558" s="72"/>
      <c r="BL558" s="72"/>
      <c r="BM558" s="72"/>
      <c r="BN558" s="72"/>
      <c r="BO558" s="72"/>
      <c r="BP558" s="72"/>
      <c r="BQ558" s="72"/>
      <c r="BR558" s="72"/>
      <c r="BS558" s="72"/>
      <c r="BT558" s="72"/>
      <c r="BU558" s="72"/>
      <c r="BV558" s="72"/>
      <c r="BW558" s="72"/>
      <c r="BX558" s="72"/>
      <c r="BY558" s="72"/>
      <c r="BZ558" s="72"/>
      <c r="CA558" s="72"/>
      <c r="CB558" s="72"/>
      <c r="CC558" s="72"/>
    </row>
    <row r="559" ht="21.0" customHeight="1">
      <c r="A559" s="12"/>
      <c r="B559" s="118"/>
      <c r="C559" s="118"/>
      <c r="D559" s="11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  <c r="AQ559" s="72"/>
      <c r="AR559" s="72"/>
      <c r="AS559" s="72"/>
      <c r="AT559" s="72"/>
      <c r="AU559" s="72"/>
      <c r="AV559" s="72"/>
      <c r="AW559" s="72"/>
      <c r="AX559" s="72"/>
      <c r="AY559" s="72"/>
      <c r="AZ559" s="72"/>
      <c r="BA559" s="72"/>
      <c r="BB559" s="72"/>
      <c r="BC559" s="72"/>
      <c r="BD559" s="72"/>
      <c r="BE559" s="72"/>
      <c r="BF559" s="72"/>
      <c r="BG559" s="72"/>
      <c r="BH559" s="72"/>
      <c r="BI559" s="72"/>
      <c r="BJ559" s="72"/>
      <c r="BK559" s="72"/>
      <c r="BL559" s="72"/>
      <c r="BM559" s="72"/>
      <c r="BN559" s="72"/>
      <c r="BO559" s="72"/>
      <c r="BP559" s="72"/>
      <c r="BQ559" s="72"/>
      <c r="BR559" s="72"/>
      <c r="BS559" s="72"/>
      <c r="BT559" s="72"/>
      <c r="BU559" s="72"/>
      <c r="BV559" s="72"/>
      <c r="BW559" s="72"/>
      <c r="BX559" s="72"/>
      <c r="BY559" s="72"/>
      <c r="BZ559" s="72"/>
      <c r="CA559" s="72"/>
      <c r="CB559" s="72"/>
      <c r="CC559" s="72"/>
    </row>
    <row r="560" ht="21.0" customHeight="1">
      <c r="A560" s="12"/>
      <c r="B560" s="118"/>
      <c r="C560" s="118"/>
      <c r="D560" s="11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  <c r="AQ560" s="72"/>
      <c r="AR560" s="72"/>
      <c r="AS560" s="72"/>
      <c r="AT560" s="72"/>
      <c r="AU560" s="72"/>
      <c r="AV560" s="72"/>
      <c r="AW560" s="72"/>
      <c r="AX560" s="72"/>
      <c r="AY560" s="72"/>
      <c r="AZ560" s="72"/>
      <c r="BA560" s="72"/>
      <c r="BB560" s="72"/>
      <c r="BC560" s="72"/>
      <c r="BD560" s="72"/>
      <c r="BE560" s="72"/>
      <c r="BF560" s="72"/>
      <c r="BG560" s="72"/>
      <c r="BH560" s="72"/>
      <c r="BI560" s="72"/>
      <c r="BJ560" s="72"/>
      <c r="BK560" s="72"/>
      <c r="BL560" s="72"/>
      <c r="BM560" s="72"/>
      <c r="BN560" s="72"/>
      <c r="BO560" s="72"/>
      <c r="BP560" s="72"/>
      <c r="BQ560" s="72"/>
      <c r="BR560" s="72"/>
      <c r="BS560" s="72"/>
      <c r="BT560" s="72"/>
      <c r="BU560" s="72"/>
      <c r="BV560" s="72"/>
      <c r="BW560" s="72"/>
      <c r="BX560" s="72"/>
      <c r="BY560" s="72"/>
      <c r="BZ560" s="72"/>
      <c r="CA560" s="72"/>
      <c r="CB560" s="72"/>
      <c r="CC560" s="72"/>
    </row>
    <row r="561" ht="21.0" customHeight="1">
      <c r="A561" s="12"/>
      <c r="B561" s="118"/>
      <c r="C561" s="118"/>
      <c r="D561" s="11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  <c r="AQ561" s="72"/>
      <c r="AR561" s="72"/>
      <c r="AS561" s="72"/>
      <c r="AT561" s="72"/>
      <c r="AU561" s="72"/>
      <c r="AV561" s="72"/>
      <c r="AW561" s="72"/>
      <c r="AX561" s="72"/>
      <c r="AY561" s="72"/>
      <c r="AZ561" s="72"/>
      <c r="BA561" s="72"/>
      <c r="BB561" s="72"/>
      <c r="BC561" s="72"/>
      <c r="BD561" s="72"/>
      <c r="BE561" s="72"/>
      <c r="BF561" s="72"/>
      <c r="BG561" s="72"/>
      <c r="BH561" s="72"/>
      <c r="BI561" s="72"/>
      <c r="BJ561" s="72"/>
      <c r="BK561" s="72"/>
      <c r="BL561" s="72"/>
      <c r="BM561" s="72"/>
      <c r="BN561" s="72"/>
      <c r="BO561" s="72"/>
      <c r="BP561" s="72"/>
      <c r="BQ561" s="72"/>
      <c r="BR561" s="72"/>
      <c r="BS561" s="72"/>
      <c r="BT561" s="72"/>
      <c r="BU561" s="72"/>
      <c r="BV561" s="72"/>
      <c r="BW561" s="72"/>
      <c r="BX561" s="72"/>
      <c r="BY561" s="72"/>
      <c r="BZ561" s="72"/>
      <c r="CA561" s="72"/>
      <c r="CB561" s="72"/>
      <c r="CC561" s="72"/>
    </row>
    <row r="562" ht="21.0" customHeight="1">
      <c r="A562" s="12"/>
      <c r="B562" s="118"/>
      <c r="C562" s="118"/>
      <c r="D562" s="11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  <c r="AQ562" s="72"/>
      <c r="AR562" s="72"/>
      <c r="AS562" s="72"/>
      <c r="AT562" s="72"/>
      <c r="AU562" s="72"/>
      <c r="AV562" s="72"/>
      <c r="AW562" s="72"/>
      <c r="AX562" s="72"/>
      <c r="AY562" s="72"/>
      <c r="AZ562" s="72"/>
      <c r="BA562" s="72"/>
      <c r="BB562" s="72"/>
      <c r="BC562" s="72"/>
      <c r="BD562" s="72"/>
      <c r="BE562" s="72"/>
      <c r="BF562" s="72"/>
      <c r="BG562" s="72"/>
      <c r="BH562" s="72"/>
      <c r="BI562" s="72"/>
      <c r="BJ562" s="72"/>
      <c r="BK562" s="72"/>
      <c r="BL562" s="72"/>
      <c r="BM562" s="72"/>
      <c r="BN562" s="72"/>
      <c r="BO562" s="72"/>
      <c r="BP562" s="72"/>
      <c r="BQ562" s="72"/>
      <c r="BR562" s="72"/>
      <c r="BS562" s="72"/>
      <c r="BT562" s="72"/>
      <c r="BU562" s="72"/>
      <c r="BV562" s="72"/>
      <c r="BW562" s="72"/>
      <c r="BX562" s="72"/>
      <c r="BY562" s="72"/>
      <c r="BZ562" s="72"/>
      <c r="CA562" s="72"/>
      <c r="CB562" s="72"/>
      <c r="CC562" s="72"/>
    </row>
    <row r="563" ht="21.0" customHeight="1">
      <c r="A563" s="12"/>
      <c r="B563" s="118"/>
      <c r="C563" s="118"/>
      <c r="D563" s="11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  <c r="AQ563" s="72"/>
      <c r="AR563" s="72"/>
      <c r="AS563" s="72"/>
      <c r="AT563" s="72"/>
      <c r="AU563" s="72"/>
      <c r="AV563" s="72"/>
      <c r="AW563" s="72"/>
      <c r="AX563" s="72"/>
      <c r="AY563" s="72"/>
      <c r="AZ563" s="72"/>
      <c r="BA563" s="72"/>
      <c r="BB563" s="72"/>
      <c r="BC563" s="72"/>
      <c r="BD563" s="72"/>
      <c r="BE563" s="72"/>
      <c r="BF563" s="72"/>
      <c r="BG563" s="72"/>
      <c r="BH563" s="72"/>
      <c r="BI563" s="72"/>
      <c r="BJ563" s="72"/>
      <c r="BK563" s="72"/>
      <c r="BL563" s="72"/>
      <c r="BM563" s="72"/>
      <c r="BN563" s="72"/>
      <c r="BO563" s="72"/>
      <c r="BP563" s="72"/>
      <c r="BQ563" s="72"/>
      <c r="BR563" s="72"/>
      <c r="BS563" s="72"/>
      <c r="BT563" s="72"/>
      <c r="BU563" s="72"/>
      <c r="BV563" s="72"/>
      <c r="BW563" s="72"/>
      <c r="BX563" s="72"/>
      <c r="BY563" s="72"/>
      <c r="BZ563" s="72"/>
      <c r="CA563" s="72"/>
      <c r="CB563" s="72"/>
      <c r="CC563" s="72"/>
    </row>
    <row r="564" ht="21.0" customHeight="1">
      <c r="A564" s="12"/>
      <c r="B564" s="119"/>
      <c r="C564" s="118"/>
      <c r="D564" s="11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  <c r="AQ564" s="72"/>
      <c r="AR564" s="72"/>
      <c r="AS564" s="72"/>
      <c r="AT564" s="72"/>
      <c r="AU564" s="72"/>
      <c r="AV564" s="72"/>
      <c r="AW564" s="72"/>
      <c r="AX564" s="72"/>
      <c r="AY564" s="72"/>
      <c r="AZ564" s="72"/>
      <c r="BA564" s="72"/>
      <c r="BB564" s="72"/>
      <c r="BC564" s="72"/>
      <c r="BD564" s="72"/>
      <c r="BE564" s="72"/>
      <c r="BF564" s="72"/>
      <c r="BG564" s="72"/>
      <c r="BH564" s="72"/>
      <c r="BI564" s="72"/>
      <c r="BJ564" s="72"/>
      <c r="BK564" s="72"/>
      <c r="BL564" s="72"/>
      <c r="BM564" s="72"/>
      <c r="BN564" s="72"/>
      <c r="BO564" s="72"/>
      <c r="BP564" s="72"/>
      <c r="BQ564" s="72"/>
      <c r="BR564" s="72"/>
      <c r="BS564" s="72"/>
      <c r="BT564" s="72"/>
      <c r="BU564" s="72"/>
      <c r="BV564" s="72"/>
      <c r="BW564" s="72"/>
      <c r="BX564" s="72"/>
      <c r="BY564" s="72"/>
      <c r="BZ564" s="72"/>
      <c r="CA564" s="72"/>
      <c r="CB564" s="72"/>
      <c r="CC564" s="72"/>
    </row>
    <row r="565" ht="21.0" customHeight="1">
      <c r="A565" s="12"/>
      <c r="B565" s="119"/>
      <c r="C565" s="118"/>
      <c r="D565" s="11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  <c r="AQ565" s="72"/>
      <c r="AR565" s="72"/>
      <c r="AS565" s="72"/>
      <c r="AT565" s="72"/>
      <c r="AU565" s="72"/>
      <c r="AV565" s="72"/>
      <c r="AW565" s="72"/>
      <c r="AX565" s="72"/>
      <c r="AY565" s="72"/>
      <c r="AZ565" s="72"/>
      <c r="BA565" s="72"/>
      <c r="BB565" s="72"/>
      <c r="BC565" s="72"/>
      <c r="BD565" s="72"/>
      <c r="BE565" s="72"/>
      <c r="BF565" s="72"/>
      <c r="BG565" s="72"/>
      <c r="BH565" s="72"/>
      <c r="BI565" s="72"/>
      <c r="BJ565" s="72"/>
      <c r="BK565" s="72"/>
      <c r="BL565" s="72"/>
      <c r="BM565" s="72"/>
      <c r="BN565" s="72"/>
      <c r="BO565" s="72"/>
      <c r="BP565" s="72"/>
      <c r="BQ565" s="72"/>
      <c r="BR565" s="72"/>
      <c r="BS565" s="72"/>
      <c r="BT565" s="72"/>
      <c r="BU565" s="72"/>
      <c r="BV565" s="72"/>
      <c r="BW565" s="72"/>
      <c r="BX565" s="72"/>
      <c r="BY565" s="72"/>
      <c r="BZ565" s="72"/>
      <c r="CA565" s="72"/>
      <c r="CB565" s="72"/>
      <c r="CC565" s="72"/>
    </row>
    <row r="566" ht="21.0" customHeight="1">
      <c r="A566" s="12"/>
      <c r="B566" s="119"/>
      <c r="C566" s="118"/>
      <c r="D566" s="11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  <c r="AQ566" s="72"/>
      <c r="AR566" s="72"/>
      <c r="AS566" s="72"/>
      <c r="AT566" s="72"/>
      <c r="AU566" s="72"/>
      <c r="AV566" s="72"/>
      <c r="AW566" s="72"/>
      <c r="AX566" s="72"/>
      <c r="AY566" s="72"/>
      <c r="AZ566" s="72"/>
      <c r="BA566" s="72"/>
      <c r="BB566" s="72"/>
      <c r="BC566" s="72"/>
      <c r="BD566" s="72"/>
      <c r="BE566" s="72"/>
      <c r="BF566" s="72"/>
      <c r="BG566" s="72"/>
      <c r="BH566" s="72"/>
      <c r="BI566" s="72"/>
      <c r="BJ566" s="72"/>
      <c r="BK566" s="72"/>
      <c r="BL566" s="72"/>
      <c r="BM566" s="72"/>
      <c r="BN566" s="72"/>
      <c r="BO566" s="72"/>
      <c r="BP566" s="72"/>
      <c r="BQ566" s="72"/>
      <c r="BR566" s="72"/>
      <c r="BS566" s="72"/>
      <c r="BT566" s="72"/>
      <c r="BU566" s="72"/>
      <c r="BV566" s="72"/>
      <c r="BW566" s="72"/>
      <c r="BX566" s="72"/>
      <c r="BY566" s="72"/>
      <c r="BZ566" s="72"/>
      <c r="CA566" s="72"/>
      <c r="CB566" s="72"/>
      <c r="CC566" s="72"/>
    </row>
    <row r="567" ht="21.0" customHeight="1">
      <c r="A567" s="12"/>
      <c r="B567" s="119"/>
      <c r="C567" s="118"/>
      <c r="D567" s="11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  <c r="AQ567" s="72"/>
      <c r="AR567" s="72"/>
      <c r="AS567" s="72"/>
      <c r="AT567" s="72"/>
      <c r="AU567" s="72"/>
      <c r="AV567" s="72"/>
      <c r="AW567" s="72"/>
      <c r="AX567" s="72"/>
      <c r="AY567" s="72"/>
      <c r="AZ567" s="72"/>
      <c r="BA567" s="72"/>
      <c r="BB567" s="72"/>
      <c r="BC567" s="72"/>
      <c r="BD567" s="72"/>
      <c r="BE567" s="72"/>
      <c r="BF567" s="72"/>
      <c r="BG567" s="72"/>
      <c r="BH567" s="72"/>
      <c r="BI567" s="72"/>
      <c r="BJ567" s="72"/>
      <c r="BK567" s="72"/>
      <c r="BL567" s="72"/>
      <c r="BM567" s="72"/>
      <c r="BN567" s="72"/>
      <c r="BO567" s="72"/>
      <c r="BP567" s="72"/>
      <c r="BQ567" s="72"/>
      <c r="BR567" s="72"/>
      <c r="BS567" s="72"/>
      <c r="BT567" s="72"/>
      <c r="BU567" s="72"/>
      <c r="BV567" s="72"/>
      <c r="BW567" s="72"/>
      <c r="BX567" s="72"/>
      <c r="BY567" s="72"/>
      <c r="BZ567" s="72"/>
      <c r="CA567" s="72"/>
      <c r="CB567" s="72"/>
      <c r="CC567" s="72"/>
    </row>
    <row r="568" ht="21.0" customHeight="1">
      <c r="A568" s="12"/>
      <c r="B568" s="119"/>
      <c r="C568" s="118"/>
      <c r="D568" s="11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  <c r="AQ568" s="72"/>
      <c r="AR568" s="72"/>
      <c r="AS568" s="72"/>
      <c r="AT568" s="72"/>
      <c r="AU568" s="72"/>
      <c r="AV568" s="72"/>
      <c r="AW568" s="72"/>
      <c r="AX568" s="72"/>
      <c r="AY568" s="72"/>
      <c r="AZ568" s="72"/>
      <c r="BA568" s="72"/>
      <c r="BB568" s="72"/>
      <c r="BC568" s="72"/>
      <c r="BD568" s="72"/>
      <c r="BE568" s="72"/>
      <c r="BF568" s="72"/>
      <c r="BG568" s="72"/>
      <c r="BH568" s="72"/>
      <c r="BI568" s="72"/>
      <c r="BJ568" s="72"/>
      <c r="BK568" s="72"/>
      <c r="BL568" s="72"/>
      <c r="BM568" s="72"/>
      <c r="BN568" s="72"/>
      <c r="BO568" s="72"/>
      <c r="BP568" s="72"/>
      <c r="BQ568" s="72"/>
      <c r="BR568" s="72"/>
      <c r="BS568" s="72"/>
      <c r="BT568" s="72"/>
      <c r="BU568" s="72"/>
      <c r="BV568" s="72"/>
      <c r="BW568" s="72"/>
      <c r="BX568" s="72"/>
      <c r="BY568" s="72"/>
      <c r="BZ568" s="72"/>
      <c r="CA568" s="72"/>
      <c r="CB568" s="72"/>
      <c r="CC568" s="72"/>
    </row>
    <row r="569" ht="21.0" customHeight="1">
      <c r="A569" s="12"/>
      <c r="B569" s="119"/>
      <c r="C569" s="118"/>
      <c r="D569" s="11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  <c r="AQ569" s="72"/>
      <c r="AR569" s="72"/>
      <c r="AS569" s="72"/>
      <c r="AT569" s="72"/>
      <c r="AU569" s="72"/>
      <c r="AV569" s="72"/>
      <c r="AW569" s="72"/>
      <c r="AX569" s="72"/>
      <c r="AY569" s="72"/>
      <c r="AZ569" s="72"/>
      <c r="BA569" s="72"/>
      <c r="BB569" s="72"/>
      <c r="BC569" s="72"/>
      <c r="BD569" s="72"/>
      <c r="BE569" s="72"/>
      <c r="BF569" s="72"/>
      <c r="BG569" s="72"/>
      <c r="BH569" s="72"/>
      <c r="BI569" s="72"/>
      <c r="BJ569" s="72"/>
      <c r="BK569" s="72"/>
      <c r="BL569" s="72"/>
      <c r="BM569" s="72"/>
      <c r="BN569" s="72"/>
      <c r="BO569" s="72"/>
      <c r="BP569" s="72"/>
      <c r="BQ569" s="72"/>
      <c r="BR569" s="72"/>
      <c r="BS569" s="72"/>
      <c r="BT569" s="72"/>
      <c r="BU569" s="72"/>
      <c r="BV569" s="72"/>
      <c r="BW569" s="72"/>
      <c r="BX569" s="72"/>
      <c r="BY569" s="72"/>
      <c r="BZ569" s="72"/>
      <c r="CA569" s="72"/>
      <c r="CB569" s="72"/>
      <c r="CC569" s="72"/>
    </row>
    <row r="570" ht="21.0" customHeight="1">
      <c r="A570" s="12"/>
      <c r="B570" s="119"/>
      <c r="C570" s="118"/>
      <c r="D570" s="11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  <c r="AQ570" s="72"/>
      <c r="AR570" s="72"/>
      <c r="AS570" s="72"/>
      <c r="AT570" s="72"/>
      <c r="AU570" s="72"/>
      <c r="AV570" s="72"/>
      <c r="AW570" s="72"/>
      <c r="AX570" s="72"/>
      <c r="AY570" s="72"/>
      <c r="AZ570" s="72"/>
      <c r="BA570" s="72"/>
      <c r="BB570" s="72"/>
      <c r="BC570" s="72"/>
      <c r="BD570" s="72"/>
      <c r="BE570" s="72"/>
      <c r="BF570" s="72"/>
      <c r="BG570" s="72"/>
      <c r="BH570" s="72"/>
      <c r="BI570" s="72"/>
      <c r="BJ570" s="72"/>
      <c r="BK570" s="72"/>
      <c r="BL570" s="72"/>
      <c r="BM570" s="72"/>
      <c r="BN570" s="72"/>
      <c r="BO570" s="72"/>
      <c r="BP570" s="72"/>
      <c r="BQ570" s="72"/>
      <c r="BR570" s="72"/>
      <c r="BS570" s="72"/>
      <c r="BT570" s="72"/>
      <c r="BU570" s="72"/>
      <c r="BV570" s="72"/>
      <c r="BW570" s="72"/>
      <c r="BX570" s="72"/>
      <c r="BY570" s="72"/>
      <c r="BZ570" s="72"/>
      <c r="CA570" s="72"/>
      <c r="CB570" s="72"/>
      <c r="CC570" s="72"/>
    </row>
    <row r="571" ht="21.0" customHeight="1">
      <c r="A571" s="12"/>
      <c r="B571" s="119"/>
      <c r="C571" s="118"/>
      <c r="D571" s="11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  <c r="AQ571" s="72"/>
      <c r="AR571" s="72"/>
      <c r="AS571" s="72"/>
      <c r="AT571" s="72"/>
      <c r="AU571" s="72"/>
      <c r="AV571" s="72"/>
      <c r="AW571" s="72"/>
      <c r="AX571" s="72"/>
      <c r="AY571" s="72"/>
      <c r="AZ571" s="72"/>
      <c r="BA571" s="72"/>
      <c r="BB571" s="72"/>
      <c r="BC571" s="72"/>
      <c r="BD571" s="72"/>
      <c r="BE571" s="72"/>
      <c r="BF571" s="72"/>
      <c r="BG571" s="72"/>
      <c r="BH571" s="72"/>
      <c r="BI571" s="72"/>
      <c r="BJ571" s="72"/>
      <c r="BK571" s="72"/>
      <c r="BL571" s="72"/>
      <c r="BM571" s="72"/>
      <c r="BN571" s="72"/>
      <c r="BO571" s="72"/>
      <c r="BP571" s="72"/>
      <c r="BQ571" s="72"/>
      <c r="BR571" s="72"/>
      <c r="BS571" s="72"/>
      <c r="BT571" s="72"/>
      <c r="BU571" s="72"/>
      <c r="BV571" s="72"/>
      <c r="BW571" s="72"/>
      <c r="BX571" s="72"/>
      <c r="BY571" s="72"/>
      <c r="BZ571" s="72"/>
      <c r="CA571" s="72"/>
      <c r="CB571" s="72"/>
      <c r="CC571" s="72"/>
    </row>
    <row r="572" ht="21.0" customHeight="1">
      <c r="A572" s="12"/>
      <c r="B572" s="119"/>
      <c r="C572" s="118"/>
      <c r="D572" s="11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  <c r="AQ572" s="72"/>
      <c r="AR572" s="72"/>
      <c r="AS572" s="72"/>
      <c r="AT572" s="72"/>
      <c r="AU572" s="72"/>
      <c r="AV572" s="72"/>
      <c r="AW572" s="72"/>
      <c r="AX572" s="72"/>
      <c r="AY572" s="72"/>
      <c r="AZ572" s="72"/>
      <c r="BA572" s="72"/>
      <c r="BB572" s="72"/>
      <c r="BC572" s="72"/>
      <c r="BD572" s="72"/>
      <c r="BE572" s="72"/>
      <c r="BF572" s="72"/>
      <c r="BG572" s="72"/>
      <c r="BH572" s="72"/>
      <c r="BI572" s="72"/>
      <c r="BJ572" s="72"/>
      <c r="BK572" s="72"/>
      <c r="BL572" s="72"/>
      <c r="BM572" s="72"/>
      <c r="BN572" s="72"/>
      <c r="BO572" s="72"/>
      <c r="BP572" s="72"/>
      <c r="BQ572" s="72"/>
      <c r="BR572" s="72"/>
      <c r="BS572" s="72"/>
      <c r="BT572" s="72"/>
      <c r="BU572" s="72"/>
      <c r="BV572" s="72"/>
      <c r="BW572" s="72"/>
      <c r="BX572" s="72"/>
      <c r="BY572" s="72"/>
      <c r="BZ572" s="72"/>
      <c r="CA572" s="72"/>
      <c r="CB572" s="72"/>
      <c r="CC572" s="72"/>
    </row>
    <row r="573" ht="21.0" customHeight="1">
      <c r="A573" s="12"/>
      <c r="B573" s="119"/>
      <c r="C573" s="118"/>
      <c r="D573" s="11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  <c r="AQ573" s="72"/>
      <c r="AR573" s="72"/>
      <c r="AS573" s="72"/>
      <c r="AT573" s="72"/>
      <c r="AU573" s="72"/>
      <c r="AV573" s="72"/>
      <c r="AW573" s="72"/>
      <c r="AX573" s="72"/>
      <c r="AY573" s="72"/>
      <c r="AZ573" s="72"/>
      <c r="BA573" s="72"/>
      <c r="BB573" s="72"/>
      <c r="BC573" s="72"/>
      <c r="BD573" s="72"/>
      <c r="BE573" s="72"/>
      <c r="BF573" s="72"/>
      <c r="BG573" s="72"/>
      <c r="BH573" s="72"/>
      <c r="BI573" s="72"/>
      <c r="BJ573" s="72"/>
      <c r="BK573" s="72"/>
      <c r="BL573" s="72"/>
      <c r="BM573" s="72"/>
      <c r="BN573" s="72"/>
      <c r="BO573" s="72"/>
      <c r="BP573" s="72"/>
      <c r="BQ573" s="72"/>
      <c r="BR573" s="72"/>
      <c r="BS573" s="72"/>
      <c r="BT573" s="72"/>
      <c r="BU573" s="72"/>
      <c r="BV573" s="72"/>
      <c r="BW573" s="72"/>
      <c r="BX573" s="72"/>
      <c r="BY573" s="72"/>
      <c r="BZ573" s="72"/>
      <c r="CA573" s="72"/>
      <c r="CB573" s="72"/>
      <c r="CC573" s="72"/>
    </row>
    <row r="574" ht="21.0" customHeight="1">
      <c r="A574" s="12"/>
      <c r="B574" s="119"/>
      <c r="C574" s="118"/>
      <c r="D574" s="11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  <c r="AQ574" s="72"/>
      <c r="AR574" s="72"/>
      <c r="AS574" s="72"/>
      <c r="AT574" s="72"/>
      <c r="AU574" s="72"/>
      <c r="AV574" s="72"/>
      <c r="AW574" s="72"/>
      <c r="AX574" s="72"/>
      <c r="AY574" s="72"/>
      <c r="AZ574" s="72"/>
      <c r="BA574" s="72"/>
      <c r="BB574" s="72"/>
      <c r="BC574" s="72"/>
      <c r="BD574" s="72"/>
      <c r="BE574" s="72"/>
      <c r="BF574" s="72"/>
      <c r="BG574" s="72"/>
      <c r="BH574" s="72"/>
      <c r="BI574" s="72"/>
      <c r="BJ574" s="72"/>
      <c r="BK574" s="72"/>
      <c r="BL574" s="72"/>
      <c r="BM574" s="72"/>
      <c r="BN574" s="72"/>
      <c r="BO574" s="72"/>
      <c r="BP574" s="72"/>
      <c r="BQ574" s="72"/>
      <c r="BR574" s="72"/>
      <c r="BS574" s="72"/>
      <c r="BT574" s="72"/>
      <c r="BU574" s="72"/>
      <c r="BV574" s="72"/>
      <c r="BW574" s="72"/>
      <c r="BX574" s="72"/>
      <c r="BY574" s="72"/>
      <c r="BZ574" s="72"/>
      <c r="CA574" s="72"/>
      <c r="CB574" s="72"/>
      <c r="CC574" s="72"/>
    </row>
    <row r="575" ht="21.0" customHeight="1">
      <c r="A575" s="12"/>
      <c r="B575" s="119"/>
      <c r="C575" s="118"/>
      <c r="D575" s="11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  <c r="AQ575" s="72"/>
      <c r="AR575" s="72"/>
      <c r="AS575" s="72"/>
      <c r="AT575" s="72"/>
      <c r="AU575" s="72"/>
      <c r="AV575" s="72"/>
      <c r="AW575" s="72"/>
      <c r="AX575" s="72"/>
      <c r="AY575" s="72"/>
      <c r="AZ575" s="72"/>
      <c r="BA575" s="72"/>
      <c r="BB575" s="72"/>
      <c r="BC575" s="72"/>
      <c r="BD575" s="72"/>
      <c r="BE575" s="72"/>
      <c r="BF575" s="72"/>
      <c r="BG575" s="72"/>
      <c r="BH575" s="72"/>
      <c r="BI575" s="72"/>
      <c r="BJ575" s="72"/>
      <c r="BK575" s="72"/>
      <c r="BL575" s="72"/>
      <c r="BM575" s="72"/>
      <c r="BN575" s="72"/>
      <c r="BO575" s="72"/>
      <c r="BP575" s="72"/>
      <c r="BQ575" s="72"/>
      <c r="BR575" s="72"/>
      <c r="BS575" s="72"/>
      <c r="BT575" s="72"/>
      <c r="BU575" s="72"/>
      <c r="BV575" s="72"/>
      <c r="BW575" s="72"/>
      <c r="BX575" s="72"/>
      <c r="BY575" s="72"/>
      <c r="BZ575" s="72"/>
      <c r="CA575" s="72"/>
      <c r="CB575" s="72"/>
      <c r="CC575" s="72"/>
    </row>
    <row r="576" ht="21.0" customHeight="1">
      <c r="A576" s="12"/>
      <c r="B576" s="119"/>
      <c r="C576" s="118"/>
      <c r="D576" s="11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  <c r="AQ576" s="72"/>
      <c r="AR576" s="72"/>
      <c r="AS576" s="72"/>
      <c r="AT576" s="72"/>
      <c r="AU576" s="72"/>
      <c r="AV576" s="72"/>
      <c r="AW576" s="72"/>
      <c r="AX576" s="72"/>
      <c r="AY576" s="72"/>
      <c r="AZ576" s="72"/>
      <c r="BA576" s="72"/>
      <c r="BB576" s="72"/>
      <c r="BC576" s="72"/>
      <c r="BD576" s="72"/>
      <c r="BE576" s="72"/>
      <c r="BF576" s="72"/>
      <c r="BG576" s="72"/>
      <c r="BH576" s="72"/>
      <c r="BI576" s="72"/>
      <c r="BJ576" s="72"/>
      <c r="BK576" s="72"/>
      <c r="BL576" s="72"/>
      <c r="BM576" s="72"/>
      <c r="BN576" s="72"/>
      <c r="BO576" s="72"/>
      <c r="BP576" s="72"/>
      <c r="BQ576" s="72"/>
      <c r="BR576" s="72"/>
      <c r="BS576" s="72"/>
      <c r="BT576" s="72"/>
      <c r="BU576" s="72"/>
      <c r="BV576" s="72"/>
      <c r="BW576" s="72"/>
      <c r="BX576" s="72"/>
      <c r="BY576" s="72"/>
      <c r="BZ576" s="72"/>
      <c r="CA576" s="72"/>
      <c r="CB576" s="72"/>
      <c r="CC576" s="72"/>
    </row>
    <row r="577" ht="21.0" customHeight="1">
      <c r="A577" s="12"/>
      <c r="B577" s="119"/>
      <c r="C577" s="118"/>
      <c r="D577" s="11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  <c r="AQ577" s="72"/>
      <c r="AR577" s="72"/>
      <c r="AS577" s="72"/>
      <c r="AT577" s="72"/>
      <c r="AU577" s="72"/>
      <c r="AV577" s="72"/>
      <c r="AW577" s="72"/>
      <c r="AX577" s="72"/>
      <c r="AY577" s="72"/>
      <c r="AZ577" s="72"/>
      <c r="BA577" s="72"/>
      <c r="BB577" s="72"/>
      <c r="BC577" s="72"/>
      <c r="BD577" s="72"/>
      <c r="BE577" s="72"/>
      <c r="BF577" s="72"/>
      <c r="BG577" s="72"/>
      <c r="BH577" s="72"/>
      <c r="BI577" s="72"/>
      <c r="BJ577" s="72"/>
      <c r="BK577" s="72"/>
      <c r="BL577" s="72"/>
      <c r="BM577" s="72"/>
      <c r="BN577" s="72"/>
      <c r="BO577" s="72"/>
      <c r="BP577" s="72"/>
      <c r="BQ577" s="72"/>
      <c r="BR577" s="72"/>
      <c r="BS577" s="72"/>
      <c r="BT577" s="72"/>
      <c r="BU577" s="72"/>
      <c r="BV577" s="72"/>
      <c r="BW577" s="72"/>
      <c r="BX577" s="72"/>
      <c r="BY577" s="72"/>
      <c r="BZ577" s="72"/>
      <c r="CA577" s="72"/>
      <c r="CB577" s="72"/>
      <c r="CC577" s="72"/>
    </row>
    <row r="578" ht="21.0" customHeight="1">
      <c r="A578" s="12"/>
      <c r="B578" s="119"/>
      <c r="C578" s="118"/>
      <c r="D578" s="11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  <c r="AQ578" s="72"/>
      <c r="AR578" s="72"/>
      <c r="AS578" s="72"/>
      <c r="AT578" s="72"/>
      <c r="AU578" s="72"/>
      <c r="AV578" s="72"/>
      <c r="AW578" s="72"/>
      <c r="AX578" s="72"/>
      <c r="AY578" s="72"/>
      <c r="AZ578" s="72"/>
      <c r="BA578" s="72"/>
      <c r="BB578" s="72"/>
      <c r="BC578" s="72"/>
      <c r="BD578" s="72"/>
      <c r="BE578" s="72"/>
      <c r="BF578" s="72"/>
      <c r="BG578" s="72"/>
      <c r="BH578" s="72"/>
      <c r="BI578" s="72"/>
      <c r="BJ578" s="72"/>
      <c r="BK578" s="72"/>
      <c r="BL578" s="72"/>
      <c r="BM578" s="72"/>
      <c r="BN578" s="72"/>
      <c r="BO578" s="72"/>
      <c r="BP578" s="72"/>
      <c r="BQ578" s="72"/>
      <c r="BR578" s="72"/>
      <c r="BS578" s="72"/>
      <c r="BT578" s="72"/>
      <c r="BU578" s="72"/>
      <c r="BV578" s="72"/>
      <c r="BW578" s="72"/>
      <c r="BX578" s="72"/>
      <c r="BY578" s="72"/>
      <c r="BZ578" s="72"/>
      <c r="CA578" s="72"/>
      <c r="CB578" s="72"/>
      <c r="CC578" s="72"/>
    </row>
    <row r="579" ht="21.0" customHeight="1">
      <c r="A579" s="12"/>
      <c r="B579" s="119"/>
      <c r="C579" s="118"/>
      <c r="D579" s="11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  <c r="AQ579" s="72"/>
      <c r="AR579" s="72"/>
      <c r="AS579" s="72"/>
      <c r="AT579" s="72"/>
      <c r="AU579" s="72"/>
      <c r="AV579" s="72"/>
      <c r="AW579" s="72"/>
      <c r="AX579" s="72"/>
      <c r="AY579" s="72"/>
      <c r="AZ579" s="72"/>
      <c r="BA579" s="72"/>
      <c r="BB579" s="72"/>
      <c r="BC579" s="72"/>
      <c r="BD579" s="72"/>
      <c r="BE579" s="72"/>
      <c r="BF579" s="72"/>
      <c r="BG579" s="72"/>
      <c r="BH579" s="72"/>
      <c r="BI579" s="72"/>
      <c r="BJ579" s="72"/>
      <c r="BK579" s="72"/>
      <c r="BL579" s="72"/>
      <c r="BM579" s="72"/>
      <c r="BN579" s="72"/>
      <c r="BO579" s="72"/>
      <c r="BP579" s="72"/>
      <c r="BQ579" s="72"/>
      <c r="BR579" s="72"/>
      <c r="BS579" s="72"/>
      <c r="BT579" s="72"/>
      <c r="BU579" s="72"/>
      <c r="BV579" s="72"/>
      <c r="BW579" s="72"/>
      <c r="BX579" s="72"/>
      <c r="BY579" s="72"/>
      <c r="BZ579" s="72"/>
      <c r="CA579" s="72"/>
      <c r="CB579" s="72"/>
      <c r="CC579" s="72"/>
    </row>
    <row r="580" ht="21.0" customHeight="1">
      <c r="A580" s="12"/>
      <c r="B580" s="119"/>
      <c r="C580" s="118"/>
      <c r="D580" s="11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  <c r="AQ580" s="72"/>
      <c r="AR580" s="72"/>
      <c r="AS580" s="72"/>
      <c r="AT580" s="72"/>
      <c r="AU580" s="72"/>
      <c r="AV580" s="72"/>
      <c r="AW580" s="72"/>
      <c r="AX580" s="72"/>
      <c r="AY580" s="72"/>
      <c r="AZ580" s="72"/>
      <c r="BA580" s="72"/>
      <c r="BB580" s="72"/>
      <c r="BC580" s="72"/>
      <c r="BD580" s="72"/>
      <c r="BE580" s="72"/>
      <c r="BF580" s="72"/>
      <c r="BG580" s="72"/>
      <c r="BH580" s="72"/>
      <c r="BI580" s="72"/>
      <c r="BJ580" s="72"/>
      <c r="BK580" s="72"/>
      <c r="BL580" s="72"/>
      <c r="BM580" s="72"/>
      <c r="BN580" s="72"/>
      <c r="BO580" s="72"/>
      <c r="BP580" s="72"/>
      <c r="BQ580" s="72"/>
      <c r="BR580" s="72"/>
      <c r="BS580" s="72"/>
      <c r="BT580" s="72"/>
      <c r="BU580" s="72"/>
      <c r="BV580" s="72"/>
      <c r="BW580" s="72"/>
      <c r="BX580" s="72"/>
      <c r="BY580" s="72"/>
      <c r="BZ580" s="72"/>
      <c r="CA580" s="72"/>
      <c r="CB580" s="72"/>
      <c r="CC580" s="72"/>
    </row>
    <row r="581" ht="21.0" customHeight="1">
      <c r="A581" s="12"/>
      <c r="B581" s="119"/>
      <c r="C581" s="118"/>
      <c r="D581" s="11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  <c r="AQ581" s="72"/>
      <c r="AR581" s="72"/>
      <c r="AS581" s="72"/>
      <c r="AT581" s="72"/>
      <c r="AU581" s="72"/>
      <c r="AV581" s="72"/>
      <c r="AW581" s="72"/>
      <c r="AX581" s="72"/>
      <c r="AY581" s="72"/>
      <c r="AZ581" s="72"/>
      <c r="BA581" s="72"/>
      <c r="BB581" s="72"/>
      <c r="BC581" s="72"/>
      <c r="BD581" s="72"/>
      <c r="BE581" s="72"/>
      <c r="BF581" s="72"/>
      <c r="BG581" s="72"/>
      <c r="BH581" s="72"/>
      <c r="BI581" s="72"/>
      <c r="BJ581" s="72"/>
      <c r="BK581" s="72"/>
      <c r="BL581" s="72"/>
      <c r="BM581" s="72"/>
      <c r="BN581" s="72"/>
      <c r="BO581" s="72"/>
      <c r="BP581" s="72"/>
      <c r="BQ581" s="72"/>
      <c r="BR581" s="72"/>
      <c r="BS581" s="72"/>
      <c r="BT581" s="72"/>
      <c r="BU581" s="72"/>
      <c r="BV581" s="72"/>
      <c r="BW581" s="72"/>
      <c r="BX581" s="72"/>
      <c r="BY581" s="72"/>
      <c r="BZ581" s="72"/>
      <c r="CA581" s="72"/>
      <c r="CB581" s="72"/>
      <c r="CC581" s="72"/>
    </row>
    <row r="582" ht="21.0" customHeight="1">
      <c r="A582" s="12"/>
      <c r="B582" s="119"/>
      <c r="C582" s="118"/>
      <c r="D582" s="11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  <c r="AQ582" s="72"/>
      <c r="AR582" s="72"/>
      <c r="AS582" s="72"/>
      <c r="AT582" s="72"/>
      <c r="AU582" s="72"/>
      <c r="AV582" s="72"/>
      <c r="AW582" s="72"/>
      <c r="AX582" s="72"/>
      <c r="AY582" s="72"/>
      <c r="AZ582" s="72"/>
      <c r="BA582" s="72"/>
      <c r="BB582" s="72"/>
      <c r="BC582" s="72"/>
      <c r="BD582" s="72"/>
      <c r="BE582" s="72"/>
      <c r="BF582" s="72"/>
      <c r="BG582" s="72"/>
      <c r="BH582" s="72"/>
      <c r="BI582" s="72"/>
      <c r="BJ582" s="72"/>
      <c r="BK582" s="72"/>
      <c r="BL582" s="72"/>
      <c r="BM582" s="72"/>
      <c r="BN582" s="72"/>
      <c r="BO582" s="72"/>
      <c r="BP582" s="72"/>
      <c r="BQ582" s="72"/>
      <c r="BR582" s="72"/>
      <c r="BS582" s="72"/>
      <c r="BT582" s="72"/>
      <c r="BU582" s="72"/>
      <c r="BV582" s="72"/>
      <c r="BW582" s="72"/>
      <c r="BX582" s="72"/>
      <c r="BY582" s="72"/>
      <c r="BZ582" s="72"/>
      <c r="CA582" s="72"/>
      <c r="CB582" s="72"/>
      <c r="CC582" s="72"/>
    </row>
    <row r="583" ht="21.0" customHeight="1">
      <c r="A583" s="12"/>
      <c r="B583" s="119"/>
      <c r="C583" s="118"/>
      <c r="D583" s="11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  <c r="AQ583" s="72"/>
      <c r="AR583" s="72"/>
      <c r="AS583" s="72"/>
      <c r="AT583" s="72"/>
      <c r="AU583" s="72"/>
      <c r="AV583" s="72"/>
      <c r="AW583" s="72"/>
      <c r="AX583" s="72"/>
      <c r="AY583" s="72"/>
      <c r="AZ583" s="72"/>
      <c r="BA583" s="72"/>
      <c r="BB583" s="72"/>
      <c r="BC583" s="72"/>
      <c r="BD583" s="72"/>
      <c r="BE583" s="72"/>
      <c r="BF583" s="72"/>
      <c r="BG583" s="72"/>
      <c r="BH583" s="72"/>
      <c r="BI583" s="72"/>
      <c r="BJ583" s="72"/>
      <c r="BK583" s="72"/>
      <c r="BL583" s="72"/>
      <c r="BM583" s="72"/>
      <c r="BN583" s="72"/>
      <c r="BO583" s="72"/>
      <c r="BP583" s="72"/>
      <c r="BQ583" s="72"/>
      <c r="BR583" s="72"/>
      <c r="BS583" s="72"/>
      <c r="BT583" s="72"/>
      <c r="BU583" s="72"/>
      <c r="BV583" s="72"/>
      <c r="BW583" s="72"/>
      <c r="BX583" s="72"/>
      <c r="BY583" s="72"/>
      <c r="BZ583" s="72"/>
      <c r="CA583" s="72"/>
      <c r="CB583" s="72"/>
      <c r="CC583" s="72"/>
    </row>
    <row r="584" ht="21.0" customHeight="1">
      <c r="A584" s="12"/>
      <c r="B584" s="119"/>
      <c r="C584" s="118"/>
      <c r="D584" s="11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  <c r="AQ584" s="72"/>
      <c r="AR584" s="72"/>
      <c r="AS584" s="72"/>
      <c r="AT584" s="72"/>
      <c r="AU584" s="72"/>
      <c r="AV584" s="72"/>
      <c r="AW584" s="72"/>
      <c r="AX584" s="72"/>
      <c r="AY584" s="72"/>
      <c r="AZ584" s="72"/>
      <c r="BA584" s="72"/>
      <c r="BB584" s="72"/>
      <c r="BC584" s="72"/>
      <c r="BD584" s="72"/>
      <c r="BE584" s="72"/>
      <c r="BF584" s="72"/>
      <c r="BG584" s="72"/>
      <c r="BH584" s="72"/>
      <c r="BI584" s="72"/>
      <c r="BJ584" s="72"/>
      <c r="BK584" s="72"/>
      <c r="BL584" s="72"/>
      <c r="BM584" s="72"/>
      <c r="BN584" s="72"/>
      <c r="BO584" s="72"/>
      <c r="BP584" s="72"/>
      <c r="BQ584" s="72"/>
      <c r="BR584" s="72"/>
      <c r="BS584" s="72"/>
      <c r="BT584" s="72"/>
      <c r="BU584" s="72"/>
      <c r="BV584" s="72"/>
      <c r="BW584" s="72"/>
      <c r="BX584" s="72"/>
      <c r="BY584" s="72"/>
      <c r="BZ584" s="72"/>
      <c r="CA584" s="72"/>
      <c r="CB584" s="72"/>
      <c r="CC584" s="72"/>
    </row>
    <row r="585" ht="21.0" customHeight="1">
      <c r="A585" s="12"/>
      <c r="B585" s="119"/>
      <c r="C585" s="118"/>
      <c r="D585" s="11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  <c r="AQ585" s="72"/>
      <c r="AR585" s="72"/>
      <c r="AS585" s="72"/>
      <c r="AT585" s="72"/>
      <c r="AU585" s="72"/>
      <c r="AV585" s="72"/>
      <c r="AW585" s="72"/>
      <c r="AX585" s="72"/>
      <c r="AY585" s="72"/>
      <c r="AZ585" s="72"/>
      <c r="BA585" s="72"/>
      <c r="BB585" s="72"/>
      <c r="BC585" s="72"/>
      <c r="BD585" s="72"/>
      <c r="BE585" s="72"/>
      <c r="BF585" s="72"/>
      <c r="BG585" s="72"/>
      <c r="BH585" s="72"/>
      <c r="BI585" s="72"/>
      <c r="BJ585" s="72"/>
      <c r="BK585" s="72"/>
      <c r="BL585" s="72"/>
      <c r="BM585" s="72"/>
      <c r="BN585" s="72"/>
      <c r="BO585" s="72"/>
      <c r="BP585" s="72"/>
      <c r="BQ585" s="72"/>
      <c r="BR585" s="72"/>
      <c r="BS585" s="72"/>
      <c r="BT585" s="72"/>
      <c r="BU585" s="72"/>
      <c r="BV585" s="72"/>
      <c r="BW585" s="72"/>
      <c r="BX585" s="72"/>
      <c r="BY585" s="72"/>
      <c r="BZ585" s="72"/>
      <c r="CA585" s="72"/>
      <c r="CB585" s="72"/>
      <c r="CC585" s="72"/>
    </row>
    <row r="586" ht="21.0" customHeight="1">
      <c r="A586" s="12"/>
      <c r="B586" s="119"/>
      <c r="C586" s="118"/>
      <c r="D586" s="11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  <c r="AQ586" s="72"/>
      <c r="AR586" s="72"/>
      <c r="AS586" s="72"/>
      <c r="AT586" s="72"/>
      <c r="AU586" s="72"/>
      <c r="AV586" s="72"/>
      <c r="AW586" s="72"/>
      <c r="AX586" s="72"/>
      <c r="AY586" s="72"/>
      <c r="AZ586" s="72"/>
      <c r="BA586" s="72"/>
      <c r="BB586" s="72"/>
      <c r="BC586" s="72"/>
      <c r="BD586" s="72"/>
      <c r="BE586" s="72"/>
      <c r="BF586" s="72"/>
      <c r="BG586" s="72"/>
      <c r="BH586" s="72"/>
      <c r="BI586" s="72"/>
      <c r="BJ586" s="72"/>
      <c r="BK586" s="72"/>
      <c r="BL586" s="72"/>
      <c r="BM586" s="72"/>
      <c r="BN586" s="72"/>
      <c r="BO586" s="72"/>
      <c r="BP586" s="72"/>
      <c r="BQ586" s="72"/>
      <c r="BR586" s="72"/>
      <c r="BS586" s="72"/>
      <c r="BT586" s="72"/>
      <c r="BU586" s="72"/>
      <c r="BV586" s="72"/>
      <c r="BW586" s="72"/>
      <c r="BX586" s="72"/>
      <c r="BY586" s="72"/>
      <c r="BZ586" s="72"/>
      <c r="CA586" s="72"/>
      <c r="CB586" s="72"/>
      <c r="CC586" s="72"/>
    </row>
    <row r="587" ht="21.0" customHeight="1">
      <c r="A587" s="12"/>
      <c r="B587" s="119"/>
      <c r="C587" s="118"/>
      <c r="D587" s="11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  <c r="AQ587" s="72"/>
      <c r="AR587" s="72"/>
      <c r="AS587" s="72"/>
      <c r="AT587" s="72"/>
      <c r="AU587" s="72"/>
      <c r="AV587" s="72"/>
      <c r="AW587" s="72"/>
      <c r="AX587" s="72"/>
      <c r="AY587" s="72"/>
      <c r="AZ587" s="72"/>
      <c r="BA587" s="72"/>
      <c r="BB587" s="72"/>
      <c r="BC587" s="72"/>
      <c r="BD587" s="72"/>
      <c r="BE587" s="72"/>
      <c r="BF587" s="72"/>
      <c r="BG587" s="72"/>
      <c r="BH587" s="72"/>
      <c r="BI587" s="72"/>
      <c r="BJ587" s="72"/>
      <c r="BK587" s="72"/>
      <c r="BL587" s="72"/>
      <c r="BM587" s="72"/>
      <c r="BN587" s="72"/>
      <c r="BO587" s="72"/>
      <c r="BP587" s="72"/>
      <c r="BQ587" s="72"/>
      <c r="BR587" s="72"/>
      <c r="BS587" s="72"/>
      <c r="BT587" s="72"/>
      <c r="BU587" s="72"/>
      <c r="BV587" s="72"/>
      <c r="BW587" s="72"/>
      <c r="BX587" s="72"/>
      <c r="BY587" s="72"/>
      <c r="BZ587" s="72"/>
      <c r="CA587" s="72"/>
      <c r="CB587" s="72"/>
      <c r="CC587" s="72"/>
    </row>
    <row r="588" ht="21.0" customHeight="1">
      <c r="A588" s="12"/>
      <c r="B588" s="119"/>
      <c r="C588" s="118"/>
      <c r="D588" s="11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  <c r="AQ588" s="72"/>
      <c r="AR588" s="72"/>
      <c r="AS588" s="72"/>
      <c r="AT588" s="72"/>
      <c r="AU588" s="72"/>
      <c r="AV588" s="72"/>
      <c r="AW588" s="72"/>
      <c r="AX588" s="72"/>
      <c r="AY588" s="72"/>
      <c r="AZ588" s="72"/>
      <c r="BA588" s="72"/>
      <c r="BB588" s="72"/>
      <c r="BC588" s="72"/>
      <c r="BD588" s="72"/>
      <c r="BE588" s="72"/>
      <c r="BF588" s="72"/>
      <c r="BG588" s="72"/>
      <c r="BH588" s="72"/>
      <c r="BI588" s="72"/>
      <c r="BJ588" s="72"/>
      <c r="BK588" s="72"/>
      <c r="BL588" s="72"/>
      <c r="BM588" s="72"/>
      <c r="BN588" s="72"/>
      <c r="BO588" s="72"/>
      <c r="BP588" s="72"/>
      <c r="BQ588" s="72"/>
      <c r="BR588" s="72"/>
      <c r="BS588" s="72"/>
      <c r="BT588" s="72"/>
      <c r="BU588" s="72"/>
      <c r="BV588" s="72"/>
      <c r="BW588" s="72"/>
      <c r="BX588" s="72"/>
      <c r="BY588" s="72"/>
      <c r="BZ588" s="72"/>
      <c r="CA588" s="72"/>
      <c r="CB588" s="72"/>
      <c r="CC588" s="72"/>
    </row>
    <row r="589" ht="21.0" customHeight="1">
      <c r="A589" s="12"/>
      <c r="B589" s="119"/>
      <c r="C589" s="118"/>
      <c r="D589" s="11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  <c r="AQ589" s="72"/>
      <c r="AR589" s="72"/>
      <c r="AS589" s="72"/>
      <c r="AT589" s="72"/>
      <c r="AU589" s="72"/>
      <c r="AV589" s="72"/>
      <c r="AW589" s="72"/>
      <c r="AX589" s="72"/>
      <c r="AY589" s="72"/>
      <c r="AZ589" s="72"/>
      <c r="BA589" s="72"/>
      <c r="BB589" s="72"/>
      <c r="BC589" s="72"/>
      <c r="BD589" s="72"/>
      <c r="BE589" s="72"/>
      <c r="BF589" s="72"/>
      <c r="BG589" s="72"/>
      <c r="BH589" s="72"/>
      <c r="BI589" s="72"/>
      <c r="BJ589" s="72"/>
      <c r="BK589" s="72"/>
      <c r="BL589" s="72"/>
      <c r="BM589" s="72"/>
      <c r="BN589" s="72"/>
      <c r="BO589" s="72"/>
      <c r="BP589" s="72"/>
      <c r="BQ589" s="72"/>
      <c r="BR589" s="72"/>
      <c r="BS589" s="72"/>
      <c r="BT589" s="72"/>
      <c r="BU589" s="72"/>
      <c r="BV589" s="72"/>
      <c r="BW589" s="72"/>
      <c r="BX589" s="72"/>
      <c r="BY589" s="72"/>
      <c r="BZ589" s="72"/>
      <c r="CA589" s="72"/>
      <c r="CB589" s="72"/>
      <c r="CC589" s="72"/>
    </row>
    <row r="590" ht="21.0" customHeight="1">
      <c r="A590" s="12"/>
      <c r="B590" s="119"/>
      <c r="C590" s="118"/>
      <c r="D590" s="11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  <c r="AQ590" s="72"/>
      <c r="AR590" s="72"/>
      <c r="AS590" s="72"/>
      <c r="AT590" s="72"/>
      <c r="AU590" s="72"/>
      <c r="AV590" s="72"/>
      <c r="AW590" s="72"/>
      <c r="AX590" s="72"/>
      <c r="AY590" s="72"/>
      <c r="AZ590" s="72"/>
      <c r="BA590" s="72"/>
      <c r="BB590" s="72"/>
      <c r="BC590" s="72"/>
      <c r="BD590" s="72"/>
      <c r="BE590" s="72"/>
      <c r="BF590" s="72"/>
      <c r="BG590" s="72"/>
      <c r="BH590" s="72"/>
      <c r="BI590" s="72"/>
      <c r="BJ590" s="72"/>
      <c r="BK590" s="72"/>
      <c r="BL590" s="72"/>
      <c r="BM590" s="72"/>
      <c r="BN590" s="72"/>
      <c r="BO590" s="72"/>
      <c r="BP590" s="72"/>
      <c r="BQ590" s="72"/>
      <c r="BR590" s="72"/>
      <c r="BS590" s="72"/>
      <c r="BT590" s="72"/>
      <c r="BU590" s="72"/>
      <c r="BV590" s="72"/>
      <c r="BW590" s="72"/>
      <c r="BX590" s="72"/>
      <c r="BY590" s="72"/>
      <c r="BZ590" s="72"/>
      <c r="CA590" s="72"/>
      <c r="CB590" s="72"/>
      <c r="CC590" s="72"/>
    </row>
    <row r="591" ht="21.0" customHeight="1">
      <c r="A591" s="12"/>
      <c r="B591" s="119"/>
      <c r="C591" s="118"/>
      <c r="D591" s="11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  <c r="AQ591" s="72"/>
      <c r="AR591" s="72"/>
      <c r="AS591" s="72"/>
      <c r="AT591" s="72"/>
      <c r="AU591" s="72"/>
      <c r="AV591" s="72"/>
      <c r="AW591" s="72"/>
      <c r="AX591" s="72"/>
      <c r="AY591" s="72"/>
      <c r="AZ591" s="72"/>
      <c r="BA591" s="72"/>
      <c r="BB591" s="72"/>
      <c r="BC591" s="72"/>
      <c r="BD591" s="72"/>
      <c r="BE591" s="72"/>
      <c r="BF591" s="72"/>
      <c r="BG591" s="72"/>
      <c r="BH591" s="72"/>
      <c r="BI591" s="72"/>
      <c r="BJ591" s="72"/>
      <c r="BK591" s="72"/>
      <c r="BL591" s="72"/>
      <c r="BM591" s="72"/>
      <c r="BN591" s="72"/>
      <c r="BO591" s="72"/>
      <c r="BP591" s="72"/>
      <c r="BQ591" s="72"/>
      <c r="BR591" s="72"/>
      <c r="BS591" s="72"/>
      <c r="BT591" s="72"/>
      <c r="BU591" s="72"/>
      <c r="BV591" s="72"/>
      <c r="BW591" s="72"/>
      <c r="BX591" s="72"/>
      <c r="BY591" s="72"/>
      <c r="BZ591" s="72"/>
      <c r="CA591" s="72"/>
      <c r="CB591" s="72"/>
      <c r="CC591" s="72"/>
    </row>
    <row r="592" ht="21.0" customHeight="1">
      <c r="A592" s="12"/>
      <c r="B592" s="119"/>
      <c r="C592" s="118"/>
      <c r="D592" s="11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  <c r="AQ592" s="72"/>
      <c r="AR592" s="72"/>
      <c r="AS592" s="72"/>
      <c r="AT592" s="72"/>
      <c r="AU592" s="72"/>
      <c r="AV592" s="72"/>
      <c r="AW592" s="72"/>
      <c r="AX592" s="72"/>
      <c r="AY592" s="72"/>
      <c r="AZ592" s="72"/>
      <c r="BA592" s="72"/>
      <c r="BB592" s="72"/>
      <c r="BC592" s="72"/>
      <c r="BD592" s="72"/>
      <c r="BE592" s="72"/>
      <c r="BF592" s="72"/>
      <c r="BG592" s="72"/>
      <c r="BH592" s="72"/>
      <c r="BI592" s="72"/>
      <c r="BJ592" s="72"/>
      <c r="BK592" s="72"/>
      <c r="BL592" s="72"/>
      <c r="BM592" s="72"/>
      <c r="BN592" s="72"/>
      <c r="BO592" s="72"/>
      <c r="BP592" s="72"/>
      <c r="BQ592" s="72"/>
      <c r="BR592" s="72"/>
      <c r="BS592" s="72"/>
      <c r="BT592" s="72"/>
      <c r="BU592" s="72"/>
      <c r="BV592" s="72"/>
      <c r="BW592" s="72"/>
      <c r="BX592" s="72"/>
      <c r="BY592" s="72"/>
      <c r="BZ592" s="72"/>
      <c r="CA592" s="72"/>
      <c r="CB592" s="72"/>
      <c r="CC592" s="72"/>
    </row>
    <row r="593" ht="21.0" customHeight="1">
      <c r="A593" s="12"/>
      <c r="B593" s="119"/>
      <c r="C593" s="118"/>
      <c r="D593" s="11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  <c r="AQ593" s="72"/>
      <c r="AR593" s="72"/>
      <c r="AS593" s="72"/>
      <c r="AT593" s="72"/>
      <c r="AU593" s="72"/>
      <c r="AV593" s="72"/>
      <c r="AW593" s="72"/>
      <c r="AX593" s="72"/>
      <c r="AY593" s="72"/>
      <c r="AZ593" s="72"/>
      <c r="BA593" s="72"/>
      <c r="BB593" s="72"/>
      <c r="BC593" s="72"/>
      <c r="BD593" s="72"/>
      <c r="BE593" s="72"/>
      <c r="BF593" s="72"/>
      <c r="BG593" s="72"/>
      <c r="BH593" s="72"/>
      <c r="BI593" s="72"/>
      <c r="BJ593" s="72"/>
      <c r="BK593" s="72"/>
      <c r="BL593" s="72"/>
      <c r="BM593" s="72"/>
      <c r="BN593" s="72"/>
      <c r="BO593" s="72"/>
      <c r="BP593" s="72"/>
      <c r="BQ593" s="72"/>
      <c r="BR593" s="72"/>
      <c r="BS593" s="72"/>
      <c r="BT593" s="72"/>
      <c r="BU593" s="72"/>
      <c r="BV593" s="72"/>
      <c r="BW593" s="72"/>
      <c r="BX593" s="72"/>
      <c r="BY593" s="72"/>
      <c r="BZ593" s="72"/>
      <c r="CA593" s="72"/>
      <c r="CB593" s="72"/>
      <c r="CC593" s="72"/>
    </row>
    <row r="594" ht="21.0" customHeight="1">
      <c r="A594" s="12"/>
      <c r="B594" s="119"/>
      <c r="C594" s="118"/>
      <c r="D594" s="11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  <c r="AQ594" s="72"/>
      <c r="AR594" s="72"/>
      <c r="AS594" s="72"/>
      <c r="AT594" s="72"/>
      <c r="AU594" s="72"/>
      <c r="AV594" s="72"/>
      <c r="AW594" s="72"/>
      <c r="AX594" s="72"/>
      <c r="AY594" s="72"/>
      <c r="AZ594" s="72"/>
      <c r="BA594" s="72"/>
      <c r="BB594" s="72"/>
      <c r="BC594" s="72"/>
      <c r="BD594" s="72"/>
      <c r="BE594" s="72"/>
      <c r="BF594" s="72"/>
      <c r="BG594" s="72"/>
      <c r="BH594" s="72"/>
      <c r="BI594" s="72"/>
      <c r="BJ594" s="72"/>
      <c r="BK594" s="72"/>
      <c r="BL594" s="72"/>
      <c r="BM594" s="72"/>
      <c r="BN594" s="72"/>
      <c r="BO594" s="72"/>
      <c r="BP594" s="72"/>
      <c r="BQ594" s="72"/>
      <c r="BR594" s="72"/>
      <c r="BS594" s="72"/>
      <c r="BT594" s="72"/>
      <c r="BU594" s="72"/>
      <c r="BV594" s="72"/>
      <c r="BW594" s="72"/>
      <c r="BX594" s="72"/>
      <c r="BY594" s="72"/>
      <c r="BZ594" s="72"/>
      <c r="CA594" s="72"/>
      <c r="CB594" s="72"/>
      <c r="CC594" s="72"/>
    </row>
    <row r="595" ht="21.0" customHeight="1">
      <c r="A595" s="12"/>
      <c r="B595" s="119"/>
      <c r="C595" s="118"/>
      <c r="D595" s="11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  <c r="AQ595" s="72"/>
      <c r="AR595" s="72"/>
      <c r="AS595" s="72"/>
      <c r="AT595" s="72"/>
      <c r="AU595" s="72"/>
      <c r="AV595" s="72"/>
      <c r="AW595" s="72"/>
      <c r="AX595" s="72"/>
      <c r="AY595" s="72"/>
      <c r="AZ595" s="72"/>
      <c r="BA595" s="72"/>
      <c r="BB595" s="72"/>
      <c r="BC595" s="72"/>
      <c r="BD595" s="72"/>
      <c r="BE595" s="72"/>
      <c r="BF595" s="72"/>
      <c r="BG595" s="72"/>
      <c r="BH595" s="72"/>
      <c r="BI595" s="72"/>
      <c r="BJ595" s="72"/>
      <c r="BK595" s="72"/>
      <c r="BL595" s="72"/>
      <c r="BM595" s="72"/>
      <c r="BN595" s="72"/>
      <c r="BO595" s="72"/>
      <c r="BP595" s="72"/>
      <c r="BQ595" s="72"/>
      <c r="BR595" s="72"/>
      <c r="BS595" s="72"/>
      <c r="BT595" s="72"/>
      <c r="BU595" s="72"/>
      <c r="BV595" s="72"/>
      <c r="BW595" s="72"/>
      <c r="BX595" s="72"/>
      <c r="BY595" s="72"/>
      <c r="BZ595" s="72"/>
      <c r="CA595" s="72"/>
      <c r="CB595" s="72"/>
      <c r="CC595" s="72"/>
    </row>
    <row r="596" ht="21.0" customHeight="1">
      <c r="A596" s="12"/>
      <c r="B596" s="119"/>
      <c r="C596" s="118"/>
      <c r="D596" s="11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  <c r="AQ596" s="72"/>
      <c r="AR596" s="72"/>
      <c r="AS596" s="72"/>
      <c r="AT596" s="72"/>
      <c r="AU596" s="72"/>
      <c r="AV596" s="72"/>
      <c r="AW596" s="72"/>
      <c r="AX596" s="72"/>
      <c r="AY596" s="72"/>
      <c r="AZ596" s="72"/>
      <c r="BA596" s="72"/>
      <c r="BB596" s="72"/>
      <c r="BC596" s="72"/>
      <c r="BD596" s="72"/>
      <c r="BE596" s="72"/>
      <c r="BF596" s="72"/>
      <c r="BG596" s="72"/>
      <c r="BH596" s="72"/>
      <c r="BI596" s="72"/>
      <c r="BJ596" s="72"/>
      <c r="BK596" s="72"/>
      <c r="BL596" s="72"/>
      <c r="BM596" s="72"/>
      <c r="BN596" s="72"/>
      <c r="BO596" s="72"/>
      <c r="BP596" s="72"/>
      <c r="BQ596" s="72"/>
      <c r="BR596" s="72"/>
      <c r="BS596" s="72"/>
      <c r="BT596" s="72"/>
      <c r="BU596" s="72"/>
      <c r="BV596" s="72"/>
      <c r="BW596" s="72"/>
      <c r="BX596" s="72"/>
      <c r="BY596" s="72"/>
      <c r="BZ596" s="72"/>
      <c r="CA596" s="72"/>
      <c r="CB596" s="72"/>
      <c r="CC596" s="72"/>
    </row>
    <row r="597" ht="21.0" customHeight="1">
      <c r="A597" s="12"/>
      <c r="B597" s="119"/>
      <c r="C597" s="118"/>
      <c r="D597" s="11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  <c r="AQ597" s="72"/>
      <c r="AR597" s="72"/>
      <c r="AS597" s="72"/>
      <c r="AT597" s="72"/>
      <c r="AU597" s="72"/>
      <c r="AV597" s="72"/>
      <c r="AW597" s="72"/>
      <c r="AX597" s="72"/>
      <c r="AY597" s="72"/>
      <c r="AZ597" s="72"/>
      <c r="BA597" s="72"/>
      <c r="BB597" s="72"/>
      <c r="BC597" s="72"/>
      <c r="BD597" s="72"/>
      <c r="BE597" s="72"/>
      <c r="BF597" s="72"/>
      <c r="BG597" s="72"/>
      <c r="BH597" s="72"/>
      <c r="BI597" s="72"/>
      <c r="BJ597" s="72"/>
      <c r="BK597" s="72"/>
      <c r="BL597" s="72"/>
      <c r="BM597" s="72"/>
      <c r="BN597" s="72"/>
      <c r="BO597" s="72"/>
      <c r="BP597" s="72"/>
      <c r="BQ597" s="72"/>
      <c r="BR597" s="72"/>
      <c r="BS597" s="72"/>
      <c r="BT597" s="72"/>
      <c r="BU597" s="72"/>
      <c r="BV597" s="72"/>
      <c r="BW597" s="72"/>
      <c r="BX597" s="72"/>
      <c r="BY597" s="72"/>
      <c r="BZ597" s="72"/>
      <c r="CA597" s="72"/>
      <c r="CB597" s="72"/>
      <c r="CC597" s="72"/>
    </row>
    <row r="598" ht="21.0" customHeight="1">
      <c r="A598" s="12"/>
      <c r="B598" s="119"/>
      <c r="C598" s="118"/>
      <c r="D598" s="11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  <c r="AQ598" s="72"/>
      <c r="AR598" s="72"/>
      <c r="AS598" s="72"/>
      <c r="AT598" s="72"/>
      <c r="AU598" s="72"/>
      <c r="AV598" s="72"/>
      <c r="AW598" s="72"/>
      <c r="AX598" s="72"/>
      <c r="AY598" s="72"/>
      <c r="AZ598" s="72"/>
      <c r="BA598" s="72"/>
      <c r="BB598" s="72"/>
      <c r="BC598" s="72"/>
      <c r="BD598" s="72"/>
      <c r="BE598" s="72"/>
      <c r="BF598" s="72"/>
      <c r="BG598" s="72"/>
      <c r="BH598" s="72"/>
      <c r="BI598" s="72"/>
      <c r="BJ598" s="72"/>
      <c r="BK598" s="72"/>
      <c r="BL598" s="72"/>
      <c r="BM598" s="72"/>
      <c r="BN598" s="72"/>
      <c r="BO598" s="72"/>
      <c r="BP598" s="72"/>
      <c r="BQ598" s="72"/>
      <c r="BR598" s="72"/>
      <c r="BS598" s="72"/>
      <c r="BT598" s="72"/>
      <c r="BU598" s="72"/>
      <c r="BV598" s="72"/>
      <c r="BW598" s="72"/>
      <c r="BX598" s="72"/>
      <c r="BY598" s="72"/>
      <c r="BZ598" s="72"/>
      <c r="CA598" s="72"/>
      <c r="CB598" s="72"/>
      <c r="CC598" s="72"/>
    </row>
    <row r="599" ht="21.0" customHeight="1">
      <c r="A599" s="12"/>
      <c r="B599" s="119"/>
      <c r="C599" s="118"/>
      <c r="D599" s="11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  <c r="AQ599" s="72"/>
      <c r="AR599" s="72"/>
      <c r="AS599" s="72"/>
      <c r="AT599" s="72"/>
      <c r="AU599" s="72"/>
      <c r="AV599" s="72"/>
      <c r="AW599" s="72"/>
      <c r="AX599" s="72"/>
      <c r="AY599" s="72"/>
      <c r="AZ599" s="72"/>
      <c r="BA599" s="72"/>
      <c r="BB599" s="72"/>
      <c r="BC599" s="72"/>
      <c r="BD599" s="72"/>
      <c r="BE599" s="72"/>
      <c r="BF599" s="72"/>
      <c r="BG599" s="72"/>
      <c r="BH599" s="72"/>
      <c r="BI599" s="72"/>
      <c r="BJ599" s="72"/>
      <c r="BK599" s="72"/>
      <c r="BL599" s="72"/>
      <c r="BM599" s="72"/>
      <c r="BN599" s="72"/>
      <c r="BO599" s="72"/>
      <c r="BP599" s="72"/>
      <c r="BQ599" s="72"/>
      <c r="BR599" s="72"/>
      <c r="BS599" s="72"/>
      <c r="BT599" s="72"/>
      <c r="BU599" s="72"/>
      <c r="BV599" s="72"/>
      <c r="BW599" s="72"/>
      <c r="BX599" s="72"/>
      <c r="BY599" s="72"/>
      <c r="BZ599" s="72"/>
      <c r="CA599" s="72"/>
      <c r="CB599" s="72"/>
      <c r="CC599" s="72"/>
    </row>
    <row r="600" ht="21.0" customHeight="1">
      <c r="A600" s="12"/>
      <c r="B600" s="119"/>
      <c r="C600" s="118"/>
      <c r="D600" s="11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  <c r="AQ600" s="72"/>
      <c r="AR600" s="72"/>
      <c r="AS600" s="72"/>
      <c r="AT600" s="72"/>
      <c r="AU600" s="72"/>
      <c r="AV600" s="72"/>
      <c r="AW600" s="72"/>
      <c r="AX600" s="72"/>
      <c r="AY600" s="72"/>
      <c r="AZ600" s="72"/>
      <c r="BA600" s="72"/>
      <c r="BB600" s="72"/>
      <c r="BC600" s="72"/>
      <c r="BD600" s="72"/>
      <c r="BE600" s="72"/>
      <c r="BF600" s="72"/>
      <c r="BG600" s="72"/>
      <c r="BH600" s="72"/>
      <c r="BI600" s="72"/>
      <c r="BJ600" s="72"/>
      <c r="BK600" s="72"/>
      <c r="BL600" s="72"/>
      <c r="BM600" s="72"/>
      <c r="BN600" s="72"/>
      <c r="BO600" s="72"/>
      <c r="BP600" s="72"/>
      <c r="BQ600" s="72"/>
      <c r="BR600" s="72"/>
      <c r="BS600" s="72"/>
      <c r="BT600" s="72"/>
      <c r="BU600" s="72"/>
      <c r="BV600" s="72"/>
      <c r="BW600" s="72"/>
      <c r="BX600" s="72"/>
      <c r="BY600" s="72"/>
      <c r="BZ600" s="72"/>
      <c r="CA600" s="72"/>
      <c r="CB600" s="72"/>
      <c r="CC600" s="72"/>
    </row>
    <row r="601" ht="21.0" customHeight="1">
      <c r="A601" s="12"/>
      <c r="B601" s="119"/>
      <c r="C601" s="118"/>
      <c r="D601" s="11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  <c r="AQ601" s="72"/>
      <c r="AR601" s="72"/>
      <c r="AS601" s="72"/>
      <c r="AT601" s="72"/>
      <c r="AU601" s="72"/>
      <c r="AV601" s="72"/>
      <c r="AW601" s="72"/>
      <c r="AX601" s="72"/>
      <c r="AY601" s="72"/>
      <c r="AZ601" s="72"/>
      <c r="BA601" s="72"/>
      <c r="BB601" s="72"/>
      <c r="BC601" s="72"/>
      <c r="BD601" s="72"/>
      <c r="BE601" s="72"/>
      <c r="BF601" s="72"/>
      <c r="BG601" s="72"/>
      <c r="BH601" s="72"/>
      <c r="BI601" s="72"/>
      <c r="BJ601" s="72"/>
      <c r="BK601" s="72"/>
      <c r="BL601" s="72"/>
      <c r="BM601" s="72"/>
      <c r="BN601" s="72"/>
      <c r="BO601" s="72"/>
      <c r="BP601" s="72"/>
      <c r="BQ601" s="72"/>
      <c r="BR601" s="72"/>
      <c r="BS601" s="72"/>
      <c r="BT601" s="72"/>
      <c r="BU601" s="72"/>
      <c r="BV601" s="72"/>
      <c r="BW601" s="72"/>
      <c r="BX601" s="72"/>
      <c r="BY601" s="72"/>
      <c r="BZ601" s="72"/>
      <c r="CA601" s="72"/>
      <c r="CB601" s="72"/>
      <c r="CC601" s="72"/>
    </row>
    <row r="602" ht="21.0" customHeight="1">
      <c r="A602" s="12"/>
      <c r="B602" s="119"/>
      <c r="C602" s="118"/>
      <c r="D602" s="11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  <c r="AQ602" s="72"/>
      <c r="AR602" s="72"/>
      <c r="AS602" s="72"/>
      <c r="AT602" s="72"/>
      <c r="AU602" s="72"/>
      <c r="AV602" s="72"/>
      <c r="AW602" s="72"/>
      <c r="AX602" s="72"/>
      <c r="AY602" s="72"/>
      <c r="AZ602" s="72"/>
      <c r="BA602" s="72"/>
      <c r="BB602" s="72"/>
      <c r="BC602" s="72"/>
      <c r="BD602" s="72"/>
      <c r="BE602" s="72"/>
      <c r="BF602" s="72"/>
      <c r="BG602" s="72"/>
      <c r="BH602" s="72"/>
      <c r="BI602" s="72"/>
      <c r="BJ602" s="72"/>
      <c r="BK602" s="72"/>
      <c r="BL602" s="72"/>
      <c r="BM602" s="72"/>
      <c r="BN602" s="72"/>
      <c r="BO602" s="72"/>
      <c r="BP602" s="72"/>
      <c r="BQ602" s="72"/>
      <c r="BR602" s="72"/>
      <c r="BS602" s="72"/>
      <c r="BT602" s="72"/>
      <c r="BU602" s="72"/>
      <c r="BV602" s="72"/>
      <c r="BW602" s="72"/>
      <c r="BX602" s="72"/>
      <c r="BY602" s="72"/>
      <c r="BZ602" s="72"/>
      <c r="CA602" s="72"/>
      <c r="CB602" s="72"/>
      <c r="CC602" s="72"/>
    </row>
    <row r="603" ht="21.0" customHeight="1">
      <c r="A603" s="12"/>
      <c r="B603" s="119"/>
      <c r="C603" s="118"/>
      <c r="D603" s="11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  <c r="AQ603" s="72"/>
      <c r="AR603" s="72"/>
      <c r="AS603" s="72"/>
      <c r="AT603" s="72"/>
      <c r="AU603" s="72"/>
      <c r="AV603" s="72"/>
      <c r="AW603" s="72"/>
      <c r="AX603" s="72"/>
      <c r="AY603" s="72"/>
      <c r="AZ603" s="72"/>
      <c r="BA603" s="72"/>
      <c r="BB603" s="72"/>
      <c r="BC603" s="72"/>
      <c r="BD603" s="72"/>
      <c r="BE603" s="72"/>
      <c r="BF603" s="72"/>
      <c r="BG603" s="72"/>
      <c r="BH603" s="72"/>
      <c r="BI603" s="72"/>
      <c r="BJ603" s="72"/>
      <c r="BK603" s="72"/>
      <c r="BL603" s="72"/>
      <c r="BM603" s="72"/>
      <c r="BN603" s="72"/>
      <c r="BO603" s="72"/>
      <c r="BP603" s="72"/>
      <c r="BQ603" s="72"/>
      <c r="BR603" s="72"/>
      <c r="BS603" s="72"/>
      <c r="BT603" s="72"/>
      <c r="BU603" s="72"/>
      <c r="BV603" s="72"/>
      <c r="BW603" s="72"/>
      <c r="BX603" s="72"/>
      <c r="BY603" s="72"/>
      <c r="BZ603" s="72"/>
      <c r="CA603" s="72"/>
      <c r="CB603" s="72"/>
      <c r="CC603" s="72"/>
    </row>
    <row r="604" ht="21.0" customHeight="1">
      <c r="A604" s="12"/>
      <c r="B604" s="119"/>
      <c r="C604" s="118"/>
      <c r="D604" s="11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  <c r="AQ604" s="72"/>
      <c r="AR604" s="72"/>
      <c r="AS604" s="72"/>
      <c r="AT604" s="72"/>
      <c r="AU604" s="72"/>
      <c r="AV604" s="72"/>
      <c r="AW604" s="72"/>
      <c r="AX604" s="72"/>
      <c r="AY604" s="72"/>
      <c r="AZ604" s="72"/>
      <c r="BA604" s="72"/>
      <c r="BB604" s="72"/>
      <c r="BC604" s="72"/>
      <c r="BD604" s="72"/>
      <c r="BE604" s="72"/>
      <c r="BF604" s="72"/>
      <c r="BG604" s="72"/>
      <c r="BH604" s="72"/>
      <c r="BI604" s="72"/>
      <c r="BJ604" s="72"/>
      <c r="BK604" s="72"/>
      <c r="BL604" s="72"/>
      <c r="BM604" s="72"/>
      <c r="BN604" s="72"/>
      <c r="BO604" s="72"/>
      <c r="BP604" s="72"/>
      <c r="BQ604" s="72"/>
      <c r="BR604" s="72"/>
      <c r="BS604" s="72"/>
      <c r="BT604" s="72"/>
      <c r="BU604" s="72"/>
      <c r="BV604" s="72"/>
      <c r="BW604" s="72"/>
      <c r="BX604" s="72"/>
      <c r="BY604" s="72"/>
      <c r="BZ604" s="72"/>
      <c r="CA604" s="72"/>
      <c r="CB604" s="72"/>
      <c r="CC604" s="72"/>
    </row>
    <row r="605" ht="21.0" customHeight="1">
      <c r="A605" s="12"/>
      <c r="B605" s="119"/>
      <c r="C605" s="118"/>
      <c r="D605" s="11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  <c r="AQ605" s="72"/>
      <c r="AR605" s="72"/>
      <c r="AS605" s="72"/>
      <c r="AT605" s="72"/>
      <c r="AU605" s="72"/>
      <c r="AV605" s="72"/>
      <c r="AW605" s="72"/>
      <c r="AX605" s="72"/>
      <c r="AY605" s="72"/>
      <c r="AZ605" s="72"/>
      <c r="BA605" s="72"/>
      <c r="BB605" s="72"/>
      <c r="BC605" s="72"/>
      <c r="BD605" s="72"/>
      <c r="BE605" s="72"/>
      <c r="BF605" s="72"/>
      <c r="BG605" s="72"/>
      <c r="BH605" s="72"/>
      <c r="BI605" s="72"/>
      <c r="BJ605" s="72"/>
      <c r="BK605" s="72"/>
      <c r="BL605" s="72"/>
      <c r="BM605" s="72"/>
      <c r="BN605" s="72"/>
      <c r="BO605" s="72"/>
      <c r="BP605" s="72"/>
      <c r="BQ605" s="72"/>
      <c r="BR605" s="72"/>
      <c r="BS605" s="72"/>
      <c r="BT605" s="72"/>
      <c r="BU605" s="72"/>
      <c r="BV605" s="72"/>
      <c r="BW605" s="72"/>
      <c r="BX605" s="72"/>
      <c r="BY605" s="72"/>
      <c r="BZ605" s="72"/>
      <c r="CA605" s="72"/>
      <c r="CB605" s="72"/>
      <c r="CC605" s="72"/>
    </row>
    <row r="606" ht="21.0" customHeight="1">
      <c r="A606" s="12"/>
      <c r="B606" s="119"/>
      <c r="C606" s="118"/>
      <c r="D606" s="11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  <c r="AQ606" s="72"/>
      <c r="AR606" s="72"/>
      <c r="AS606" s="72"/>
      <c r="AT606" s="72"/>
      <c r="AU606" s="72"/>
      <c r="AV606" s="72"/>
      <c r="AW606" s="72"/>
      <c r="AX606" s="72"/>
      <c r="AY606" s="72"/>
      <c r="AZ606" s="72"/>
      <c r="BA606" s="72"/>
      <c r="BB606" s="72"/>
      <c r="BC606" s="72"/>
      <c r="BD606" s="72"/>
      <c r="BE606" s="72"/>
      <c r="BF606" s="72"/>
      <c r="BG606" s="72"/>
      <c r="BH606" s="72"/>
      <c r="BI606" s="72"/>
      <c r="BJ606" s="72"/>
      <c r="BK606" s="72"/>
      <c r="BL606" s="72"/>
      <c r="BM606" s="72"/>
      <c r="BN606" s="72"/>
      <c r="BO606" s="72"/>
      <c r="BP606" s="72"/>
      <c r="BQ606" s="72"/>
      <c r="BR606" s="72"/>
      <c r="BS606" s="72"/>
      <c r="BT606" s="72"/>
      <c r="BU606" s="72"/>
      <c r="BV606" s="72"/>
      <c r="BW606" s="72"/>
      <c r="BX606" s="72"/>
      <c r="BY606" s="72"/>
      <c r="BZ606" s="72"/>
      <c r="CA606" s="72"/>
      <c r="CB606" s="72"/>
      <c r="CC606" s="72"/>
    </row>
    <row r="607" ht="21.0" customHeight="1">
      <c r="A607" s="12"/>
      <c r="B607" s="119"/>
      <c r="C607" s="118"/>
      <c r="D607" s="11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  <c r="AQ607" s="72"/>
      <c r="AR607" s="72"/>
      <c r="AS607" s="72"/>
      <c r="AT607" s="72"/>
      <c r="AU607" s="72"/>
      <c r="AV607" s="72"/>
      <c r="AW607" s="72"/>
      <c r="AX607" s="72"/>
      <c r="AY607" s="72"/>
      <c r="AZ607" s="72"/>
      <c r="BA607" s="72"/>
      <c r="BB607" s="72"/>
      <c r="BC607" s="72"/>
      <c r="BD607" s="72"/>
      <c r="BE607" s="72"/>
      <c r="BF607" s="72"/>
      <c r="BG607" s="72"/>
      <c r="BH607" s="72"/>
      <c r="BI607" s="72"/>
      <c r="BJ607" s="72"/>
      <c r="BK607" s="72"/>
      <c r="BL607" s="72"/>
      <c r="BM607" s="72"/>
      <c r="BN607" s="72"/>
      <c r="BO607" s="72"/>
      <c r="BP607" s="72"/>
      <c r="BQ607" s="72"/>
      <c r="BR607" s="72"/>
      <c r="BS607" s="72"/>
      <c r="BT607" s="72"/>
      <c r="BU607" s="72"/>
      <c r="BV607" s="72"/>
      <c r="BW607" s="72"/>
      <c r="BX607" s="72"/>
      <c r="BY607" s="72"/>
      <c r="BZ607" s="72"/>
      <c r="CA607" s="72"/>
      <c r="CB607" s="72"/>
      <c r="CC607" s="72"/>
    </row>
    <row r="608" ht="21.0" customHeight="1">
      <c r="A608" s="12"/>
      <c r="B608" s="119"/>
      <c r="C608" s="118"/>
      <c r="D608" s="11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  <c r="AQ608" s="72"/>
      <c r="AR608" s="72"/>
      <c r="AS608" s="72"/>
      <c r="AT608" s="72"/>
      <c r="AU608" s="72"/>
      <c r="AV608" s="72"/>
      <c r="AW608" s="72"/>
      <c r="AX608" s="72"/>
      <c r="AY608" s="72"/>
      <c r="AZ608" s="72"/>
      <c r="BA608" s="72"/>
      <c r="BB608" s="72"/>
      <c r="BC608" s="72"/>
      <c r="BD608" s="72"/>
      <c r="BE608" s="72"/>
      <c r="BF608" s="72"/>
      <c r="BG608" s="72"/>
      <c r="BH608" s="72"/>
      <c r="BI608" s="72"/>
      <c r="BJ608" s="72"/>
      <c r="BK608" s="72"/>
      <c r="BL608" s="72"/>
      <c r="BM608" s="72"/>
      <c r="BN608" s="72"/>
      <c r="BO608" s="72"/>
      <c r="BP608" s="72"/>
      <c r="BQ608" s="72"/>
      <c r="BR608" s="72"/>
      <c r="BS608" s="72"/>
      <c r="BT608" s="72"/>
      <c r="BU608" s="72"/>
      <c r="BV608" s="72"/>
      <c r="BW608" s="72"/>
      <c r="BX608" s="72"/>
      <c r="BY608" s="72"/>
      <c r="BZ608" s="72"/>
      <c r="CA608" s="72"/>
      <c r="CB608" s="72"/>
      <c r="CC608" s="72"/>
    </row>
    <row r="609" ht="21.0" customHeight="1">
      <c r="A609" s="12"/>
      <c r="B609" s="119"/>
      <c r="C609" s="118"/>
      <c r="D609" s="11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  <c r="AQ609" s="72"/>
      <c r="AR609" s="72"/>
      <c r="AS609" s="72"/>
      <c r="AT609" s="72"/>
      <c r="AU609" s="72"/>
      <c r="AV609" s="72"/>
      <c r="AW609" s="72"/>
      <c r="AX609" s="72"/>
      <c r="AY609" s="72"/>
      <c r="AZ609" s="72"/>
      <c r="BA609" s="72"/>
      <c r="BB609" s="72"/>
      <c r="BC609" s="72"/>
      <c r="BD609" s="72"/>
      <c r="BE609" s="72"/>
      <c r="BF609" s="72"/>
      <c r="BG609" s="72"/>
      <c r="BH609" s="72"/>
      <c r="BI609" s="72"/>
      <c r="BJ609" s="72"/>
      <c r="BK609" s="72"/>
      <c r="BL609" s="72"/>
      <c r="BM609" s="72"/>
      <c r="BN609" s="72"/>
      <c r="BO609" s="72"/>
      <c r="BP609" s="72"/>
      <c r="BQ609" s="72"/>
      <c r="BR609" s="72"/>
      <c r="BS609" s="72"/>
      <c r="BT609" s="72"/>
      <c r="BU609" s="72"/>
      <c r="BV609" s="72"/>
      <c r="BW609" s="72"/>
      <c r="BX609" s="72"/>
      <c r="BY609" s="72"/>
      <c r="BZ609" s="72"/>
      <c r="CA609" s="72"/>
      <c r="CB609" s="72"/>
      <c r="CC609" s="72"/>
    </row>
    <row r="610" ht="21.0" customHeight="1">
      <c r="A610" s="12"/>
      <c r="B610" s="119"/>
      <c r="C610" s="118"/>
      <c r="D610" s="11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  <c r="AQ610" s="72"/>
      <c r="AR610" s="72"/>
      <c r="AS610" s="72"/>
      <c r="AT610" s="72"/>
      <c r="AU610" s="72"/>
      <c r="AV610" s="72"/>
      <c r="AW610" s="72"/>
      <c r="AX610" s="72"/>
      <c r="AY610" s="72"/>
      <c r="AZ610" s="72"/>
      <c r="BA610" s="72"/>
      <c r="BB610" s="72"/>
      <c r="BC610" s="72"/>
      <c r="BD610" s="72"/>
      <c r="BE610" s="72"/>
      <c r="BF610" s="72"/>
      <c r="BG610" s="72"/>
      <c r="BH610" s="72"/>
      <c r="BI610" s="72"/>
      <c r="BJ610" s="72"/>
      <c r="BK610" s="72"/>
      <c r="BL610" s="72"/>
      <c r="BM610" s="72"/>
      <c r="BN610" s="72"/>
      <c r="BO610" s="72"/>
      <c r="BP610" s="72"/>
      <c r="BQ610" s="72"/>
      <c r="BR610" s="72"/>
      <c r="BS610" s="72"/>
      <c r="BT610" s="72"/>
      <c r="BU610" s="72"/>
      <c r="BV610" s="72"/>
      <c r="BW610" s="72"/>
      <c r="BX610" s="72"/>
      <c r="BY610" s="72"/>
      <c r="BZ610" s="72"/>
      <c r="CA610" s="72"/>
      <c r="CB610" s="72"/>
      <c r="CC610" s="72"/>
    </row>
    <row r="611" ht="21.0" customHeight="1">
      <c r="A611" s="12"/>
      <c r="B611" s="119"/>
      <c r="C611" s="118"/>
      <c r="D611" s="11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  <c r="AQ611" s="72"/>
      <c r="AR611" s="72"/>
      <c r="AS611" s="72"/>
      <c r="AT611" s="72"/>
      <c r="AU611" s="72"/>
      <c r="AV611" s="72"/>
      <c r="AW611" s="72"/>
      <c r="AX611" s="72"/>
      <c r="AY611" s="72"/>
      <c r="AZ611" s="72"/>
      <c r="BA611" s="72"/>
      <c r="BB611" s="72"/>
      <c r="BC611" s="72"/>
      <c r="BD611" s="72"/>
      <c r="BE611" s="72"/>
      <c r="BF611" s="72"/>
      <c r="BG611" s="72"/>
      <c r="BH611" s="72"/>
      <c r="BI611" s="72"/>
      <c r="BJ611" s="72"/>
      <c r="BK611" s="72"/>
      <c r="BL611" s="72"/>
      <c r="BM611" s="72"/>
      <c r="BN611" s="72"/>
      <c r="BO611" s="72"/>
      <c r="BP611" s="72"/>
      <c r="BQ611" s="72"/>
      <c r="BR611" s="72"/>
      <c r="BS611" s="72"/>
      <c r="BT611" s="72"/>
      <c r="BU611" s="72"/>
      <c r="BV611" s="72"/>
      <c r="BW611" s="72"/>
      <c r="BX611" s="72"/>
      <c r="BY611" s="72"/>
      <c r="BZ611" s="72"/>
      <c r="CA611" s="72"/>
      <c r="CB611" s="72"/>
      <c r="CC611" s="72"/>
    </row>
    <row r="612" ht="21.0" customHeight="1">
      <c r="A612" s="12"/>
      <c r="B612" s="119"/>
      <c r="C612" s="118"/>
      <c r="D612" s="11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  <c r="AQ612" s="72"/>
      <c r="AR612" s="72"/>
      <c r="AS612" s="72"/>
      <c r="AT612" s="72"/>
      <c r="AU612" s="72"/>
      <c r="AV612" s="72"/>
      <c r="AW612" s="72"/>
      <c r="AX612" s="72"/>
      <c r="AY612" s="72"/>
      <c r="AZ612" s="72"/>
      <c r="BA612" s="72"/>
      <c r="BB612" s="72"/>
      <c r="BC612" s="72"/>
      <c r="BD612" s="72"/>
      <c r="BE612" s="72"/>
      <c r="BF612" s="72"/>
      <c r="BG612" s="72"/>
      <c r="BH612" s="72"/>
      <c r="BI612" s="72"/>
      <c r="BJ612" s="72"/>
      <c r="BK612" s="72"/>
      <c r="BL612" s="72"/>
      <c r="BM612" s="72"/>
      <c r="BN612" s="72"/>
      <c r="BO612" s="72"/>
      <c r="BP612" s="72"/>
      <c r="BQ612" s="72"/>
      <c r="BR612" s="72"/>
      <c r="BS612" s="72"/>
      <c r="BT612" s="72"/>
      <c r="BU612" s="72"/>
      <c r="BV612" s="72"/>
      <c r="BW612" s="72"/>
      <c r="BX612" s="72"/>
      <c r="BY612" s="72"/>
      <c r="BZ612" s="72"/>
      <c r="CA612" s="72"/>
      <c r="CB612" s="72"/>
      <c r="CC612" s="72"/>
    </row>
    <row r="613" ht="21.0" customHeight="1">
      <c r="A613" s="12"/>
      <c r="B613" s="119"/>
      <c r="C613" s="118"/>
      <c r="D613" s="11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  <c r="AQ613" s="72"/>
      <c r="AR613" s="72"/>
      <c r="AS613" s="72"/>
      <c r="AT613" s="72"/>
      <c r="AU613" s="72"/>
      <c r="AV613" s="72"/>
      <c r="AW613" s="72"/>
      <c r="AX613" s="72"/>
      <c r="AY613" s="72"/>
      <c r="AZ613" s="72"/>
      <c r="BA613" s="72"/>
      <c r="BB613" s="72"/>
      <c r="BC613" s="72"/>
      <c r="BD613" s="72"/>
      <c r="BE613" s="72"/>
      <c r="BF613" s="72"/>
      <c r="BG613" s="72"/>
      <c r="BH613" s="72"/>
      <c r="BI613" s="72"/>
      <c r="BJ613" s="72"/>
      <c r="BK613" s="72"/>
      <c r="BL613" s="72"/>
      <c r="BM613" s="72"/>
      <c r="BN613" s="72"/>
      <c r="BO613" s="72"/>
      <c r="BP613" s="72"/>
      <c r="BQ613" s="72"/>
      <c r="BR613" s="72"/>
      <c r="BS613" s="72"/>
      <c r="BT613" s="72"/>
      <c r="BU613" s="72"/>
      <c r="BV613" s="72"/>
      <c r="BW613" s="72"/>
      <c r="BX613" s="72"/>
      <c r="BY613" s="72"/>
      <c r="BZ613" s="72"/>
      <c r="CA613" s="72"/>
      <c r="CB613" s="72"/>
      <c r="CC613" s="72"/>
    </row>
    <row r="614" ht="21.0" customHeight="1">
      <c r="A614" s="12"/>
      <c r="B614" s="119"/>
      <c r="C614" s="118"/>
      <c r="D614" s="11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  <c r="AQ614" s="72"/>
      <c r="AR614" s="72"/>
      <c r="AS614" s="72"/>
      <c r="AT614" s="72"/>
      <c r="AU614" s="72"/>
      <c r="AV614" s="72"/>
      <c r="AW614" s="72"/>
      <c r="AX614" s="72"/>
      <c r="AY614" s="72"/>
      <c r="AZ614" s="72"/>
      <c r="BA614" s="72"/>
      <c r="BB614" s="72"/>
      <c r="BC614" s="72"/>
      <c r="BD614" s="72"/>
      <c r="BE614" s="72"/>
      <c r="BF614" s="72"/>
      <c r="BG614" s="72"/>
      <c r="BH614" s="72"/>
      <c r="BI614" s="72"/>
      <c r="BJ614" s="72"/>
      <c r="BK614" s="72"/>
      <c r="BL614" s="72"/>
      <c r="BM614" s="72"/>
      <c r="BN614" s="72"/>
      <c r="BO614" s="72"/>
      <c r="BP614" s="72"/>
      <c r="BQ614" s="72"/>
      <c r="BR614" s="72"/>
      <c r="BS614" s="72"/>
      <c r="BT614" s="72"/>
      <c r="BU614" s="72"/>
      <c r="BV614" s="72"/>
      <c r="BW614" s="72"/>
      <c r="BX614" s="72"/>
      <c r="BY614" s="72"/>
      <c r="BZ614" s="72"/>
      <c r="CA614" s="72"/>
      <c r="CB614" s="72"/>
      <c r="CC614" s="72"/>
    </row>
    <row r="615" ht="21.0" customHeight="1">
      <c r="A615" s="12"/>
      <c r="B615" s="119"/>
      <c r="C615" s="118"/>
      <c r="D615" s="11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  <c r="AQ615" s="72"/>
      <c r="AR615" s="72"/>
      <c r="AS615" s="72"/>
      <c r="AT615" s="72"/>
      <c r="AU615" s="72"/>
      <c r="AV615" s="72"/>
      <c r="AW615" s="72"/>
      <c r="AX615" s="72"/>
      <c r="AY615" s="72"/>
      <c r="AZ615" s="72"/>
      <c r="BA615" s="72"/>
      <c r="BB615" s="72"/>
      <c r="BC615" s="72"/>
      <c r="BD615" s="72"/>
      <c r="BE615" s="72"/>
      <c r="BF615" s="72"/>
      <c r="BG615" s="72"/>
      <c r="BH615" s="72"/>
      <c r="BI615" s="72"/>
      <c r="BJ615" s="72"/>
      <c r="BK615" s="72"/>
      <c r="BL615" s="72"/>
      <c r="BM615" s="72"/>
      <c r="BN615" s="72"/>
      <c r="BO615" s="72"/>
      <c r="BP615" s="72"/>
      <c r="BQ615" s="72"/>
      <c r="BR615" s="72"/>
      <c r="BS615" s="72"/>
      <c r="BT615" s="72"/>
      <c r="BU615" s="72"/>
      <c r="BV615" s="72"/>
      <c r="BW615" s="72"/>
      <c r="BX615" s="72"/>
      <c r="BY615" s="72"/>
      <c r="BZ615" s="72"/>
      <c r="CA615" s="72"/>
      <c r="CB615" s="72"/>
      <c r="CC615" s="72"/>
    </row>
    <row r="616" ht="21.0" customHeight="1">
      <c r="A616" s="12"/>
      <c r="B616" s="119"/>
      <c r="C616" s="118"/>
      <c r="D616" s="11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  <c r="AQ616" s="72"/>
      <c r="AR616" s="72"/>
      <c r="AS616" s="72"/>
      <c r="AT616" s="72"/>
      <c r="AU616" s="72"/>
      <c r="AV616" s="72"/>
      <c r="AW616" s="72"/>
      <c r="AX616" s="72"/>
      <c r="AY616" s="72"/>
      <c r="AZ616" s="72"/>
      <c r="BA616" s="72"/>
      <c r="BB616" s="72"/>
      <c r="BC616" s="72"/>
      <c r="BD616" s="72"/>
      <c r="BE616" s="72"/>
      <c r="BF616" s="72"/>
      <c r="BG616" s="72"/>
      <c r="BH616" s="72"/>
      <c r="BI616" s="72"/>
      <c r="BJ616" s="72"/>
      <c r="BK616" s="72"/>
      <c r="BL616" s="72"/>
      <c r="BM616" s="72"/>
      <c r="BN616" s="72"/>
      <c r="BO616" s="72"/>
      <c r="BP616" s="72"/>
      <c r="BQ616" s="72"/>
      <c r="BR616" s="72"/>
      <c r="BS616" s="72"/>
      <c r="BT616" s="72"/>
      <c r="BU616" s="72"/>
      <c r="BV616" s="72"/>
      <c r="BW616" s="72"/>
      <c r="BX616" s="72"/>
      <c r="BY616" s="72"/>
      <c r="BZ616" s="72"/>
      <c r="CA616" s="72"/>
      <c r="CB616" s="72"/>
      <c r="CC616" s="72"/>
    </row>
    <row r="617" ht="21.0" customHeight="1">
      <c r="A617" s="12"/>
      <c r="B617" s="119"/>
      <c r="C617" s="118"/>
      <c r="D617" s="11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  <c r="AQ617" s="72"/>
      <c r="AR617" s="72"/>
      <c r="AS617" s="72"/>
      <c r="AT617" s="72"/>
      <c r="AU617" s="72"/>
      <c r="AV617" s="72"/>
      <c r="AW617" s="72"/>
      <c r="AX617" s="72"/>
      <c r="AY617" s="72"/>
      <c r="AZ617" s="72"/>
      <c r="BA617" s="72"/>
      <c r="BB617" s="72"/>
      <c r="BC617" s="72"/>
      <c r="BD617" s="72"/>
      <c r="BE617" s="72"/>
      <c r="BF617" s="72"/>
      <c r="BG617" s="72"/>
      <c r="BH617" s="72"/>
      <c r="BI617" s="72"/>
      <c r="BJ617" s="72"/>
      <c r="BK617" s="72"/>
      <c r="BL617" s="72"/>
      <c r="BM617" s="72"/>
      <c r="BN617" s="72"/>
      <c r="BO617" s="72"/>
      <c r="BP617" s="72"/>
      <c r="BQ617" s="72"/>
      <c r="BR617" s="72"/>
      <c r="BS617" s="72"/>
      <c r="BT617" s="72"/>
      <c r="BU617" s="72"/>
      <c r="BV617" s="72"/>
      <c r="BW617" s="72"/>
      <c r="BX617" s="72"/>
      <c r="BY617" s="72"/>
      <c r="BZ617" s="72"/>
      <c r="CA617" s="72"/>
      <c r="CB617" s="72"/>
      <c r="CC617" s="72"/>
    </row>
    <row r="618" ht="21.0" customHeight="1">
      <c r="A618" s="12"/>
      <c r="B618" s="119"/>
      <c r="C618" s="118"/>
      <c r="D618" s="11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  <c r="AQ618" s="72"/>
      <c r="AR618" s="72"/>
      <c r="AS618" s="72"/>
      <c r="AT618" s="72"/>
      <c r="AU618" s="72"/>
      <c r="AV618" s="72"/>
      <c r="AW618" s="72"/>
      <c r="AX618" s="72"/>
      <c r="AY618" s="72"/>
      <c r="AZ618" s="72"/>
      <c r="BA618" s="72"/>
      <c r="BB618" s="72"/>
      <c r="BC618" s="72"/>
      <c r="BD618" s="72"/>
      <c r="BE618" s="72"/>
      <c r="BF618" s="72"/>
      <c r="BG618" s="72"/>
      <c r="BH618" s="72"/>
      <c r="BI618" s="72"/>
      <c r="BJ618" s="72"/>
      <c r="BK618" s="72"/>
      <c r="BL618" s="72"/>
      <c r="BM618" s="72"/>
      <c r="BN618" s="72"/>
      <c r="BO618" s="72"/>
      <c r="BP618" s="72"/>
      <c r="BQ618" s="72"/>
      <c r="BR618" s="72"/>
      <c r="BS618" s="72"/>
      <c r="BT618" s="72"/>
      <c r="BU618" s="72"/>
      <c r="BV618" s="72"/>
      <c r="BW618" s="72"/>
      <c r="BX618" s="72"/>
      <c r="BY618" s="72"/>
      <c r="BZ618" s="72"/>
      <c r="CA618" s="72"/>
      <c r="CB618" s="72"/>
      <c r="CC618" s="72"/>
    </row>
    <row r="619" ht="21.0" customHeight="1">
      <c r="A619" s="12"/>
      <c r="B619" s="119"/>
      <c r="C619" s="118"/>
      <c r="D619" s="11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  <c r="AQ619" s="72"/>
      <c r="AR619" s="72"/>
      <c r="AS619" s="72"/>
      <c r="AT619" s="72"/>
      <c r="AU619" s="72"/>
      <c r="AV619" s="72"/>
      <c r="AW619" s="72"/>
      <c r="AX619" s="72"/>
      <c r="AY619" s="72"/>
      <c r="AZ619" s="72"/>
      <c r="BA619" s="72"/>
      <c r="BB619" s="72"/>
      <c r="BC619" s="72"/>
      <c r="BD619" s="72"/>
      <c r="BE619" s="72"/>
      <c r="BF619" s="72"/>
      <c r="BG619" s="72"/>
      <c r="BH619" s="72"/>
      <c r="BI619" s="72"/>
      <c r="BJ619" s="72"/>
      <c r="BK619" s="72"/>
      <c r="BL619" s="72"/>
      <c r="BM619" s="72"/>
      <c r="BN619" s="72"/>
      <c r="BO619" s="72"/>
      <c r="BP619" s="72"/>
      <c r="BQ619" s="72"/>
      <c r="BR619" s="72"/>
      <c r="BS619" s="72"/>
      <c r="BT619" s="72"/>
      <c r="BU619" s="72"/>
      <c r="BV619" s="72"/>
      <c r="BW619" s="72"/>
      <c r="BX619" s="72"/>
      <c r="BY619" s="72"/>
      <c r="BZ619" s="72"/>
      <c r="CA619" s="72"/>
      <c r="CB619" s="72"/>
      <c r="CC619" s="72"/>
    </row>
    <row r="620" ht="21.0" customHeight="1">
      <c r="A620" s="12"/>
      <c r="B620" s="119"/>
      <c r="C620" s="118"/>
      <c r="D620" s="11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  <c r="AQ620" s="72"/>
      <c r="AR620" s="72"/>
      <c r="AS620" s="72"/>
      <c r="AT620" s="72"/>
      <c r="AU620" s="72"/>
      <c r="AV620" s="72"/>
      <c r="AW620" s="72"/>
      <c r="AX620" s="72"/>
      <c r="AY620" s="72"/>
      <c r="AZ620" s="72"/>
      <c r="BA620" s="72"/>
      <c r="BB620" s="72"/>
      <c r="BC620" s="72"/>
      <c r="BD620" s="72"/>
      <c r="BE620" s="72"/>
      <c r="BF620" s="72"/>
      <c r="BG620" s="72"/>
      <c r="BH620" s="72"/>
      <c r="BI620" s="72"/>
      <c r="BJ620" s="72"/>
      <c r="BK620" s="72"/>
      <c r="BL620" s="72"/>
      <c r="BM620" s="72"/>
      <c r="BN620" s="72"/>
      <c r="BO620" s="72"/>
      <c r="BP620" s="72"/>
      <c r="BQ620" s="72"/>
      <c r="BR620" s="72"/>
      <c r="BS620" s="72"/>
      <c r="BT620" s="72"/>
      <c r="BU620" s="72"/>
      <c r="BV620" s="72"/>
      <c r="BW620" s="72"/>
      <c r="BX620" s="72"/>
      <c r="BY620" s="72"/>
      <c r="BZ620" s="72"/>
      <c r="CA620" s="72"/>
      <c r="CB620" s="72"/>
      <c r="CC620" s="72"/>
    </row>
  </sheetData>
  <mergeCells count="1">
    <mergeCell ref="C5:D5"/>
  </mergeCells>
  <conditionalFormatting sqref="C1:C620 B172:B205 B216 B219">
    <cfRule type="cellIs" dxfId="0" priority="1" operator="equal">
      <formula>0</formula>
    </cfRule>
  </conditionalFormatting>
  <conditionalFormatting sqref="C1:C620 B172:B205 B216 B219">
    <cfRule type="cellIs" dxfId="0" priority="2" operator="equal">
      <formula>0</formula>
    </cfRule>
  </conditionalFormatting>
  <conditionalFormatting sqref="B1:C546 D1:D343">
    <cfRule type="colorScale" priority="3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C5">
      <formula1>'SMPS 재고 현황'!$H:$H</formula1>
    </dataValidation>
  </dataValidations>
  <drawing r:id="rId1"/>
</worksheet>
</file>